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Insumos" sheetId="2" state="visible" r:id="rId4"/>
    <sheet name="Produtos" sheetId="3" state="visible" r:id="rId5"/>
    <sheet name="Ingredientes" sheetId="4" state="visible" r:id="rId6"/>
    <sheet name="Conferência" sheetId="5" state="visible" r:id="rId7"/>
    <sheet name="Pendências" sheetId="6" state="visible" r:id="rId8"/>
    <sheet name="Listas"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Não mude: é por este código que as receitas encontram o insumo.</t>
        </r>
      </text>
    </comment>
    <comment ref="C3" authorId="0">
      <text>
        <r>
          <rPr>
            <sz val="10"/>
            <rFont val="Arial"/>
            <family val="2"/>
          </rPr>
          <t xml:space="preserve">Como você compra: kg, L ou un. O cálculo trabalha sempre em quilo.</t>
        </r>
      </text>
    </comment>
    <comment ref="D3" authorId="0">
      <text>
        <r>
          <rPr>
            <sz val="10"/>
            <rFont val="Arial"/>
            <family val="2"/>
          </rPr>
          <t xml:space="preserve">Quanto você comprou, antes de limpar. Ex.: 1 kg de cebola com casca.</t>
        </r>
      </text>
    </comment>
    <comment ref="E3" authorId="0">
      <text>
        <r>
          <rPr>
            <sz val="10"/>
            <rFont val="Arial"/>
            <family val="2"/>
          </rPr>
          <t xml:space="preserve">Quanto sobrou depois de descascar, aparar e limpar. Ex.: 0,850 kg.</t>
        </r>
      </text>
    </comment>
    <comment ref="F3" authorId="0">
      <text>
        <r>
          <rPr>
            <sz val="10"/>
            <rFont val="Arial"/>
            <family val="2"/>
          </rPr>
          <t xml:space="preserve">Calculado: peso líquido ÷ peso bruto. Quanto menor, mais se perde na limpeza.</t>
        </r>
      </text>
    </comment>
    <comment ref="G3" authorId="0">
      <text>
        <r>
          <rPr>
            <sz val="10"/>
            <rFont val="Arial"/>
            <family val="2"/>
          </rPr>
          <t xml:space="preserve">Quanto custa 1 kg (ou 1 L, ou 1 unidade) deste insumo.</t>
        </r>
      </text>
    </comment>
    <comment ref="I3" authorId="0">
      <text>
        <r>
          <rPr>
            <sz val="10"/>
            <rFont val="Arial"/>
            <family val="2"/>
          </rPr>
          <t xml:space="preserve">Quando você viu este preço pela última vez.</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Não mude: é por este código que a aba Ingredientes encontra a receita.</t>
        </r>
      </text>
    </comment>
    <comment ref="D3" authorId="0">
      <text>
        <r>
          <rPr>
            <sz val="10"/>
            <rFont val="Arial"/>
            <family val="2"/>
          </rPr>
          <t xml:space="preserve">Quantas porções a receita rende.</t>
        </r>
      </text>
    </comment>
    <comment ref="E3" authorId="0">
      <text>
        <r>
          <rPr>
            <sz val="10"/>
            <rFont val="Arial"/>
            <family val="2"/>
          </rPr>
          <t xml:space="preserve">Quanto sai da panela, em quilo. Só preencha quando a receita perde peso (o frango cozinha e a água vai fora). Em branco, o sistema soma os ingredientes.</t>
        </r>
      </text>
    </comment>
    <comment ref="G3" authorId="0">
      <text>
        <r>
          <rPr>
            <sz val="10"/>
            <rFont val="Arial"/>
            <family val="2"/>
          </rPr>
          <t xml:space="preserve">Sim para o que vai para o cliente; Não para base e sub-receita.</t>
        </r>
      </text>
    </comment>
    <comment ref="H3" authorId="0">
      <text>
        <r>
          <rPr>
            <sz val="10"/>
            <rFont val="Arial"/>
            <family val="2"/>
          </rPr>
          <t xml:space="preserve">Quanto você cobra hoje por uma porção.</t>
        </r>
      </text>
    </comment>
    <comment ref="I3" authorId="0">
      <text>
        <r>
          <rPr>
            <sz val="10"/>
            <rFont val="Arial"/>
            <family val="2"/>
          </rPr>
          <t xml:space="preserve">Quanto do preço você aceita que seja ingrediente. 30% quer dizer que de cada R$ 10 vendidos, R$ 3 são ingrediente.</t>
        </r>
      </text>
    </comment>
    <comment ref="J3" authorId="0">
      <text>
        <r>
          <rPr>
            <sz val="10"/>
            <rFont val="Arial"/>
            <family val="2"/>
          </rPr>
          <t xml:space="preserve">Calculado: soma dos ingredientes na aba Ingredientes.</t>
        </r>
      </text>
    </comment>
    <comment ref="K3" authorId="0">
      <text>
        <r>
          <rPr>
            <sz val="10"/>
            <rFont val="Arial"/>
            <family val="2"/>
          </rPr>
          <t xml:space="preserve">Calculado: custo da receita ÷ rendimento em porções.</t>
        </r>
      </text>
    </comment>
    <comment ref="L3" authorId="0">
      <text>
        <r>
          <rPr>
            <sz val="10"/>
            <rFont val="Arial"/>
            <family val="2"/>
          </rPr>
          <t xml:space="preserve">Calculado: custo por porção ÷ meta de CMV.</t>
        </r>
      </text>
    </comment>
    <comment ref="M3" authorId="0">
      <text>
        <r>
          <rPr>
            <sz val="10"/>
            <rFont val="Arial"/>
            <family val="2"/>
          </rPr>
          <t xml:space="preserve">Calculado: custo da receita ÷ rendimento em quilo. É o preço que a sub-receita tem quando entra em outra ficha.</t>
        </r>
      </text>
    </comment>
    <comment ref="N3" authorId="0">
      <text>
        <r>
          <rPr>
            <sz val="10"/>
            <rFont val="Arial"/>
            <family val="2"/>
          </rPr>
          <t xml:space="preserve">Calculado: custo por porção ÷ preço praticado.</t>
        </r>
      </text>
    </comment>
    <comment ref="O3" authorId="0">
      <text>
        <r>
          <rPr>
            <sz val="10"/>
            <rFont val="Arial"/>
            <family val="2"/>
          </rPr>
          <t xml:space="preserve">O que a sua planilha original calculava, para conferir.</t>
        </r>
      </text>
    </comment>
    <comment ref="P3" authorId="0">
      <text>
        <r>
          <rPr>
            <sz val="10"/>
            <rFont val="Arial"/>
            <family val="2"/>
          </rPr>
          <t xml:space="preserve">Calculado: custo por porção de agora menos o da planilha antiga.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Tem que ser igual ao código na aba Produtos.</t>
        </r>
      </text>
    </comment>
    <comment ref="C3" authorId="0">
      <text>
        <r>
          <rPr>
            <sz val="10"/>
            <rFont val="Arial"/>
            <family val="2"/>
          </rPr>
          <t xml:space="preserve">Tem que ser igual ao código na aba Insumos.</t>
        </r>
      </text>
    </comment>
    <comment ref="E3" authorId="0">
      <text>
        <r>
          <rPr>
            <sz val="10"/>
            <rFont val="Arial"/>
            <family val="2"/>
          </rPr>
          <t xml:space="preserve">Quanto vai na receita, já limpo. 250 g = 0,250.</t>
        </r>
      </text>
    </comment>
    <comment ref="F3" authorId="0">
      <text>
        <r>
          <rPr>
            <sz val="10"/>
            <rFont val="Arial"/>
            <family val="2"/>
          </rPr>
          <t xml:space="preserve">Vem da aba Insumos.</t>
        </r>
      </text>
    </comment>
    <comment ref="G3" authorId="0">
      <text>
        <r>
          <rPr>
            <sz val="10"/>
            <rFont val="Arial"/>
            <family val="2"/>
          </rPr>
          <t xml:space="preserve">Calculado: quantidade ÷ fator de correção. É o quanto você precisa comprar.</t>
        </r>
      </text>
    </comment>
    <comment ref="H3" authorId="0">
      <text>
        <r>
          <rPr>
            <sz val="10"/>
            <rFont val="Arial"/>
            <family val="2"/>
          </rPr>
          <t xml:space="preserve">Vem da aba Insumos.</t>
        </r>
      </text>
    </comment>
    <comment ref="I3" authorId="0">
      <text>
        <r>
          <rPr>
            <sz val="10"/>
            <rFont val="Arial"/>
            <family val="2"/>
          </rPr>
          <t xml:space="preserve">Calculado: peso bruto × preço por quilo.</t>
        </r>
      </text>
    </comment>
  </commentList>
</comments>
</file>

<file path=xl/sharedStrings.xml><?xml version="1.0" encoding="utf-8"?>
<sst xmlns="http://schemas.openxmlformats.org/spreadsheetml/2006/main" count="3016" uniqueCount="643">
  <si>
    <t xml:space="preserve">Ficha técnica do Maluzices</t>
  </si>
  <si>
    <t xml:space="preserve">Esta planilha já vem preenchida com as suas receitas. É para conferir e, daqui para frente, manter.</t>
  </si>
  <si>
    <t xml:space="preserve">Como ler as cores</t>
  </si>
  <si>
    <t xml:space="preserve">Fundo amarelo e letra azul: campo seu, pode digitar à vontade.</t>
  </si>
  <si>
    <t xml:space="preserve">Letra preta: a planilha calcula sozinha. Se você digitar por cima, a conta some.</t>
  </si>
  <si>
    <t xml:space="preserve">Letra verde: o valor vem de outra aba.</t>
  </si>
  <si>
    <t xml:space="preserve">Linhas de fundo claro no topo dos Insumos: sub-receitas, com preço calculado.</t>
  </si>
  <si>
    <t xml:space="preserve">As abas</t>
  </si>
  <si>
    <t xml:space="preserve">Insumos: tudo que você compra, com peso bruto, peso líquido e preço.</t>
  </si>
  <si>
    <t xml:space="preserve">Produtos: uma linha por receita, com rendimento, preço e os custos calculados.</t>
  </si>
  <si>
    <t xml:space="preserve">Ingredientes: o que entra em cada receita e quanto. É daqui que sai o custo.</t>
  </si>
  <si>
    <t xml:space="preserve">Conferência: compara estes números com os da sua planilha antiga.</t>
  </si>
  <si>
    <t xml:space="preserve">Listas: alimenta as caixinhas de escolha. Só mexa para incluir um fornecedor novo.</t>
  </si>
  <si>
    <t xml:space="preserve">As contas, em português</t>
  </si>
  <si>
    <t xml:space="preserve">Fator de correção = peso líquido ÷ peso bruto. Se 1 kg de cebola vira 850 g depois de descascada, o fator é 0,85.</t>
  </si>
  <si>
    <t xml:space="preserve">Peso bruto da receita = quantidade ÷ fator de correção. Para usar 850 g de cebola limpa você compra 1 kg.</t>
  </si>
  <si>
    <t xml:space="preserve">Custo do ingrediente = peso bruto × preço por quilo. Você paga pela casca também.</t>
  </si>
  <si>
    <t xml:space="preserve">Custo da receita = soma de todos os ingredientes.</t>
  </si>
  <si>
    <t xml:space="preserve">Custo por porção = custo da receita ÷ quantas porções ela rende.</t>
  </si>
  <si>
    <t xml:space="preserve">Preço sugerido = custo por porção ÷ meta de CMV.</t>
  </si>
  <si>
    <t xml:space="preserve">CMV real = custo por porção ÷ preço que você cobra hoje.</t>
  </si>
  <si>
    <t xml:space="preserve">O que é CMV</t>
  </si>
  <si>
    <t xml:space="preserve">É a parte do preço que é ingrediente. CMV de 30% quer dizer que de cada R$ 10 vendidos, R$ 3 foram para a comida e R$ 7 ficaram para pagar gás, luz, embalagem, o seu trabalho e o lucro. Quanto menor o CMV, mais sobra.</t>
  </si>
  <si>
    <t xml:space="preserve">Para incluir uma receita nova</t>
  </si>
  <si>
    <t xml:space="preserve">1. Na aba Produtos, acrescente uma linha no fim com um código sem espaço (ex.: bolo-de-cenoura), o nome, a categoria e quantas porções rende.</t>
  </si>
  <si>
    <t xml:space="preserve">2. Copie as fórmulas das colunas J até P de uma linha de cima.</t>
  </si>
  <si>
    <t xml:space="preserve">3. Na aba Ingredientes, acrescente uma linha por ingrediente, repetindo o código do produto, e copie as fórmulas das colunas F até I.</t>
  </si>
  <si>
    <t xml:space="preserve">Rendimento em quilo</t>
  </si>
  <si>
    <t xml:space="preserve">Só preencha quando a receita perde peso no preparo. O frango desfiado leva 2 kg de frango e 2,5 kg de água, mas a água do cozimento vai fora e sobram 2 kg: aí o rendimento em quilo é 2. Em branco, a planilha soma os ingredientes.</t>
  </si>
  <si>
    <t xml:space="preserve">Duas coisas que encontramos na sua planilha</t>
  </si>
  <si>
    <t xml:space="preserve">1. Ingredientes que entravam de graça. Quando o nome escrito na receita não existia igualzinho na lista de insumos (a receita dizia "MASSA DE QUICHE" e a lista dizia "MASSA PARA QUICHE"), a busca não achava nada e o ingrediente entrava valendo zero. A massa da quiche, o pão de nobis e outros estavam assim. Aqui eles passaram a contar, e por isso alguns custos subiram bastante.</t>
  </si>
  <si>
    <t xml:space="preserve">2. O alho-poró estava cadastrado duas vezes, com preços diferentes, e a fórmula de busca somava as duas linhas. Isso deixava o preço e o fator de correção errados e barateava vários produtos entre 1% e 3%. Aqui ficou uma linha só.</t>
  </si>
  <si>
    <t xml:space="preserve">Nos dois casos o custo da planilha antiga estava mais baixo do que o real, nunca mais alto. A coluna Diferença da aba Produtos mostra quanto mudou em cada receita.</t>
  </si>
  <si>
    <t xml:space="preserve">O que ainda falta você preencher</t>
  </si>
  <si>
    <t xml:space="preserve">Alguns ingredientes continuam sem preço porque não existem na lista de insumos com nenhum nome parecido (óleo de girassol, melado de cana, gelo, entre outros). Eles estão listados na aba Pendências. Enquanto não tiverem preço, as receitas que os usam continuam saindo mais baratas do que são.</t>
  </si>
  <si>
    <t xml:space="preserve">Insumos</t>
  </si>
  <si>
    <t xml:space="preserve">Tudo que entra nas receitas. As linhas amarelas são as que você preenche; as de fundo claro no topo são sub-receitas e têm o preço calculado sozinho.</t>
  </si>
  <si>
    <t xml:space="preserve">Código</t>
  </si>
  <si>
    <t xml:space="preserve">Nome</t>
  </si>
  <si>
    <t xml:space="preserve">Unidade</t>
  </si>
  <si>
    <t xml:space="preserve">Peso bruto</t>
  </si>
  <si>
    <t xml:space="preserve">Peso líquido</t>
  </si>
  <si>
    <t xml:space="preserve">Fator de correção</t>
  </si>
  <si>
    <t xml:space="preserve">Preço por quilo</t>
  </si>
  <si>
    <t xml:space="preserve">Fornecedor</t>
  </si>
  <si>
    <t xml:space="preserve">Data da cotação</t>
  </si>
  <si>
    <t xml:space="preserve">Observação</t>
  </si>
  <si>
    <t xml:space="preserve">creme-de-castanha</t>
  </si>
  <si>
    <t xml:space="preserve">Creme de Castanha</t>
  </si>
  <si>
    <t xml:space="preserve">kg</t>
  </si>
  <si>
    <t xml:space="preserve">cozinha</t>
  </si>
  <si>
    <t xml:space="preserve">Sub-receita: o preço sai da aba Produtos, não se digita.</t>
  </si>
  <si>
    <t xml:space="preserve">creme-para-quiche</t>
  </si>
  <si>
    <t xml:space="preserve">Creme para Quiche</t>
  </si>
  <si>
    <t xml:space="preserve">frango-desfiado</t>
  </si>
  <si>
    <t xml:space="preserve">Frango Desfiado</t>
  </si>
  <si>
    <t xml:space="preserve">frango-desfiado-com-molho-de-tomate</t>
  </si>
  <si>
    <t xml:space="preserve">Frango Desfiado com Molho de Tomate</t>
  </si>
  <si>
    <t xml:space="preserve">leite-de-amendoim</t>
  </si>
  <si>
    <t xml:space="preserve">Leite de Amendoim</t>
  </si>
  <si>
    <t xml:space="preserve">L</t>
  </si>
  <si>
    <t xml:space="preserve">leite-de-arroz</t>
  </si>
  <si>
    <t xml:space="preserve">Leite de Arroz</t>
  </si>
  <si>
    <t xml:space="preserve">maionese-verde</t>
  </si>
  <si>
    <t xml:space="preserve">Maionese Verde</t>
  </si>
  <si>
    <t xml:space="preserve">manteiga-vegana</t>
  </si>
  <si>
    <t xml:space="preserve">Manteiga Vegana</t>
  </si>
  <si>
    <t xml:space="preserve">massa-low-carb-para-quiche</t>
  </si>
  <si>
    <t xml:space="preserve">Massa Low Carb para Quiche</t>
  </si>
  <si>
    <t xml:space="preserve">massa-de-esfira</t>
  </si>
  <si>
    <t xml:space="preserve">Massa de Esfira</t>
  </si>
  <si>
    <t xml:space="preserve">mix-de-sementes-para-pao</t>
  </si>
  <si>
    <t xml:space="preserve">Mix de Sementes para Pão</t>
  </si>
  <si>
    <t xml:space="preserve">mix-sem-gluten-cris-gutierrez</t>
  </si>
  <si>
    <t xml:space="preserve">Mix sem Glúten Cris Gutierrez</t>
  </si>
  <si>
    <t xml:space="preserve">pure-de-batatas</t>
  </si>
  <si>
    <t xml:space="preserve">Purê de Batatas</t>
  </si>
  <si>
    <t xml:space="preserve">pao-roberta</t>
  </si>
  <si>
    <t xml:space="preserve">Pão Roberta</t>
  </si>
  <si>
    <t xml:space="preserve">pao-nobis</t>
  </si>
  <si>
    <t xml:space="preserve">Pão-nóbis</t>
  </si>
  <si>
    <t xml:space="preserve">requeiju</t>
  </si>
  <si>
    <t xml:space="preserve">Requeiju</t>
  </si>
  <si>
    <t xml:space="preserve">abacaxi-sem-casca</t>
  </si>
  <si>
    <t xml:space="preserve">Abacaxi sem Casca</t>
  </si>
  <si>
    <t xml:space="preserve">Cantina</t>
  </si>
  <si>
    <t xml:space="preserve">abobora-cabotia</t>
  </si>
  <si>
    <t xml:space="preserve">Abobora Cabotia</t>
  </si>
  <si>
    <t xml:space="preserve">abobrinha-crua</t>
  </si>
  <si>
    <t xml:space="preserve">Abobrinha Crua</t>
  </si>
  <si>
    <t xml:space="preserve">alecrim</t>
  </si>
  <si>
    <t xml:space="preserve">Alecrim</t>
  </si>
  <si>
    <t xml:space="preserve">alface</t>
  </si>
  <si>
    <t xml:space="preserve">Alface</t>
  </si>
  <si>
    <t xml:space="preserve">alho-cru</t>
  </si>
  <si>
    <t xml:space="preserve">Alho Cru</t>
  </si>
  <si>
    <t xml:space="preserve">alho-descascado</t>
  </si>
  <si>
    <t xml:space="preserve">Alho Descascado</t>
  </si>
  <si>
    <t xml:space="preserve">alho-poro</t>
  </si>
  <si>
    <t xml:space="preserve">Alho-poró</t>
  </si>
  <si>
    <t xml:space="preserve">Feirinha</t>
  </si>
  <si>
    <t xml:space="preserve">amaranto-em-flocos</t>
  </si>
  <si>
    <t xml:space="preserve">Amaranto em Flocos</t>
  </si>
  <si>
    <t xml:space="preserve">Ares</t>
  </si>
  <si>
    <t xml:space="preserve">amendoas-em-castanha</t>
  </si>
  <si>
    <t xml:space="preserve">Amendoas em Castanha</t>
  </si>
  <si>
    <t xml:space="preserve">amendoim</t>
  </si>
  <si>
    <t xml:space="preserve">Amendoim</t>
  </si>
  <si>
    <t xml:space="preserve">Cedro</t>
  </si>
  <si>
    <t xml:space="preserve">amido-de-milho</t>
  </si>
  <si>
    <t xml:space="preserve">Amido de Milho</t>
  </si>
  <si>
    <t xml:space="preserve">aveia</t>
  </si>
  <si>
    <t xml:space="preserve">Aveia</t>
  </si>
  <si>
    <t xml:space="preserve">aveia-em-flocos-grossos</t>
  </si>
  <si>
    <t xml:space="preserve">Aveia em Flocos Grossos</t>
  </si>
  <si>
    <t xml:space="preserve">avela-torrada</t>
  </si>
  <si>
    <t xml:space="preserve">Avelã Torrada</t>
  </si>
  <si>
    <t xml:space="preserve">Ares da Natureza</t>
  </si>
  <si>
    <t xml:space="preserve">azeite-de-oliva</t>
  </si>
  <si>
    <t xml:space="preserve">Azeite de Oliva</t>
  </si>
  <si>
    <t xml:space="preserve">Argentina</t>
  </si>
  <si>
    <t xml:space="preserve">acucar-demerara</t>
  </si>
  <si>
    <t xml:space="preserve">Açucar Demerara</t>
  </si>
  <si>
    <t xml:space="preserve">acucar-mascavo</t>
  </si>
  <si>
    <t xml:space="preserve">Açúcar Mascavo</t>
  </si>
  <si>
    <t xml:space="preserve">Equi</t>
  </si>
  <si>
    <t xml:space="preserve">acucar-de-coco</t>
  </si>
  <si>
    <t xml:space="preserve">Açúcar de Coco</t>
  </si>
  <si>
    <t xml:space="preserve">banana-com-casca</t>
  </si>
  <si>
    <t xml:space="preserve">Banana com Casca</t>
  </si>
  <si>
    <t xml:space="preserve">banana-sem-casca</t>
  </si>
  <si>
    <t xml:space="preserve">Banana sem Casca</t>
  </si>
  <si>
    <t xml:space="preserve">Cantina da Fruta</t>
  </si>
  <si>
    <t xml:space="preserve">batata-asterix</t>
  </si>
  <si>
    <t xml:space="preserve">Batata Asterix</t>
  </si>
  <si>
    <t xml:space="preserve">batata-doce-cozida-no-vapor</t>
  </si>
  <si>
    <t xml:space="preserve">Batata Doce Cozida No Vapor</t>
  </si>
  <si>
    <t xml:space="preserve">batata-doce-crua-sem-casca</t>
  </si>
  <si>
    <t xml:space="preserve">Batata Doce Crua sem Casca</t>
  </si>
  <si>
    <t xml:space="preserve">batata-monalisa-in-natura</t>
  </si>
  <si>
    <t xml:space="preserve">Batata Monalisa In Natura</t>
  </si>
  <si>
    <t xml:space="preserve">baunilha-em-pasta</t>
  </si>
  <si>
    <t xml:space="preserve">Baunilha em Pasta</t>
  </si>
  <si>
    <t xml:space="preserve">beterraba</t>
  </si>
  <si>
    <t xml:space="preserve">Beterraba</t>
  </si>
  <si>
    <t xml:space="preserve">beterraba-em-po</t>
  </si>
  <si>
    <t xml:space="preserve">Beterraba em Pó</t>
  </si>
  <si>
    <t xml:space="preserve">bicarbonato-se-sodio</t>
  </si>
  <si>
    <t xml:space="preserve">Bicarbonato Se Sódio</t>
  </si>
  <si>
    <t xml:space="preserve">Organicos e Cia</t>
  </si>
  <si>
    <t xml:space="preserve">brocolis</t>
  </si>
  <si>
    <t xml:space="preserve">Brócolis</t>
  </si>
  <si>
    <t xml:space="preserve">Fruteira</t>
  </si>
  <si>
    <t xml:space="preserve">cacau-em-po</t>
  </si>
  <si>
    <t xml:space="preserve">Cacau em Pó</t>
  </si>
  <si>
    <t xml:space="preserve">Equilibrium</t>
  </si>
  <si>
    <t xml:space="preserve">cafe-soluvel</t>
  </si>
  <si>
    <t xml:space="preserve">Café Solúvel</t>
  </si>
  <si>
    <t xml:space="preserve">Cacau Show</t>
  </si>
  <si>
    <t xml:space="preserve">caldo-de-frango</t>
  </si>
  <si>
    <t xml:space="preserve">Caldo de Frango</t>
  </si>
  <si>
    <t xml:space="preserve">canela-em-po</t>
  </si>
  <si>
    <t xml:space="preserve">Canela em Pó</t>
  </si>
  <si>
    <t xml:space="preserve">carne-moida</t>
  </si>
  <si>
    <t xml:space="preserve">Carne Moida</t>
  </si>
  <si>
    <t xml:space="preserve">castanha-de-caju</t>
  </si>
  <si>
    <t xml:space="preserve">Castanha de Caju</t>
  </si>
  <si>
    <t xml:space="preserve">castanha-do-para-inteira</t>
  </si>
  <si>
    <t xml:space="preserve">Castanha do Pará Inteira</t>
  </si>
  <si>
    <t xml:space="preserve">cebola-sem-casca</t>
  </si>
  <si>
    <t xml:space="preserve">Cebola sem Casca</t>
  </si>
  <si>
    <t xml:space="preserve">cenoura-com-casca</t>
  </si>
  <si>
    <t xml:space="preserve">Cenoura com Casca</t>
  </si>
  <si>
    <t xml:space="preserve">chia</t>
  </si>
  <si>
    <t xml:space="preserve">Chia</t>
  </si>
  <si>
    <t xml:space="preserve">chocolate-80-ares</t>
  </si>
  <si>
    <t xml:space="preserve">Chocolate 80% Ares</t>
  </si>
  <si>
    <t xml:space="preserve">chocolate-branco-divine-vegano-zero-acuc</t>
  </si>
  <si>
    <t xml:space="preserve">Chocolate Branco Divine Vegano Zero Açúcar</t>
  </si>
  <si>
    <t xml:space="preserve">chocolate-planalto-70</t>
  </si>
  <si>
    <t xml:space="preserve">Chocolate Planalto 70%</t>
  </si>
  <si>
    <t xml:space="preserve">chocolate-sicao-branco</t>
  </si>
  <si>
    <t xml:space="preserve">Chocolate Sicao Branco</t>
  </si>
  <si>
    <t xml:space="preserve">chocolate-sicao-meio-amargo</t>
  </si>
  <si>
    <t xml:space="preserve">Chocolate Sicao Meio Amargo</t>
  </si>
  <si>
    <t xml:space="preserve">chuchu</t>
  </si>
  <si>
    <t xml:space="preserve">Chuchu</t>
  </si>
  <si>
    <t xml:space="preserve">coco-em-flocos-grandes-torrado</t>
  </si>
  <si>
    <t xml:space="preserve">Coco em Flocos Grandes Torrado</t>
  </si>
  <si>
    <t xml:space="preserve">coco-em-flocos-sem-acucar</t>
  </si>
  <si>
    <t xml:space="preserve">Coco em Flocos sem Açúcar</t>
  </si>
  <si>
    <t xml:space="preserve">couve-flor-cozida</t>
  </si>
  <si>
    <t xml:space="preserve">Couve-flor Cozida</t>
  </si>
  <si>
    <t xml:space="preserve">coxao-mole</t>
  </si>
  <si>
    <t xml:space="preserve">Coxão Mole</t>
  </si>
  <si>
    <t xml:space="preserve">creme-pata-quiche-vegan</t>
  </si>
  <si>
    <t xml:space="preserve">Creme Pata Quiche Vegan</t>
  </si>
  <si>
    <t xml:space="preserve">creme-patissiere</t>
  </si>
  <si>
    <t xml:space="preserve">Creme Patissiere</t>
  </si>
  <si>
    <t xml:space="preserve">cremor-de-tartaro</t>
  </si>
  <si>
    <t xml:space="preserve">Cremor de Tártaro</t>
  </si>
  <si>
    <t xml:space="preserve">cumaru</t>
  </si>
  <si>
    <t xml:space="preserve">Cumaru</t>
  </si>
  <si>
    <t xml:space="preserve">Cipra</t>
  </si>
  <si>
    <t xml:space="preserve">curcuma-em-po</t>
  </si>
  <si>
    <t xml:space="preserve">Curcuma em Pó</t>
  </si>
  <si>
    <t xml:space="preserve">curry</t>
  </si>
  <si>
    <t xml:space="preserve">Curry</t>
  </si>
  <si>
    <t xml:space="preserve">farinha-de-amendoas</t>
  </si>
  <si>
    <t xml:space="preserve">Farinha de Amêndoas</t>
  </si>
  <si>
    <t xml:space="preserve">farinha-de-arroz</t>
  </si>
  <si>
    <t xml:space="preserve">Farinha de Arroz</t>
  </si>
  <si>
    <t xml:space="preserve">farinha-de-arroz-integral</t>
  </si>
  <si>
    <t xml:space="preserve">Farinha de Arroz Integral</t>
  </si>
  <si>
    <t xml:space="preserve">farinha-de-coco</t>
  </si>
  <si>
    <t xml:space="preserve">Farinha de Coco</t>
  </si>
  <si>
    <t xml:space="preserve">farinha-de-grao-de-bico</t>
  </si>
  <si>
    <t xml:space="preserve">Farinha de Grão-de-bico</t>
  </si>
  <si>
    <t xml:space="preserve">farinha-de-trigo-integral</t>
  </si>
  <si>
    <t xml:space="preserve">Farinha de Trigo Integral</t>
  </si>
  <si>
    <t xml:space="preserve">feijao-azuki</t>
  </si>
  <si>
    <t xml:space="preserve">Feijão Azuki</t>
  </si>
  <si>
    <t xml:space="preserve">feijao-fradinho</t>
  </si>
  <si>
    <t xml:space="preserve">Feijão Fradinho</t>
  </si>
  <si>
    <t xml:space="preserve">Oraganicos e Cia Beltrao</t>
  </si>
  <si>
    <t xml:space="preserve">fermento-biologico-seco</t>
  </si>
  <si>
    <t xml:space="preserve">Fermento Biologico Seco</t>
  </si>
  <si>
    <t xml:space="preserve">Marcon Atacado Beltrao</t>
  </si>
  <si>
    <t xml:space="preserve">fermento-quimico</t>
  </si>
  <si>
    <t xml:space="preserve">Fermento Químico</t>
  </si>
  <si>
    <t xml:space="preserve">flor-de-sal</t>
  </si>
  <si>
    <t xml:space="preserve">Flor de Sal</t>
  </si>
  <si>
    <t xml:space="preserve">frango-cru</t>
  </si>
  <si>
    <t xml:space="preserve">Frango Cru</t>
  </si>
  <si>
    <t xml:space="preserve">Rafa</t>
  </si>
  <si>
    <t xml:space="preserve">fuba-fino</t>
  </si>
  <si>
    <t xml:space="preserve">Fubá Fino</t>
  </si>
  <si>
    <t xml:space="preserve">fecula-de-batata</t>
  </si>
  <si>
    <t xml:space="preserve">Fécula de Batata</t>
  </si>
  <si>
    <t xml:space="preserve">ganache-70-com-leite-de-coco</t>
  </si>
  <si>
    <t xml:space="preserve">Ganache 70 com Leite de Coco</t>
  </si>
  <si>
    <t xml:space="preserve">geleia-de-amoras-silvestres</t>
  </si>
  <si>
    <t xml:space="preserve">Geleia de Amoras Silvestres</t>
  </si>
  <si>
    <t xml:space="preserve">geleia-de-morando</t>
  </si>
  <si>
    <t xml:space="preserve">Geleia de Morando</t>
  </si>
  <si>
    <t xml:space="preserve">gengibre-cru</t>
  </si>
  <si>
    <t xml:space="preserve">Gengibre Cru</t>
  </si>
  <si>
    <t xml:space="preserve">gergelim-branco</t>
  </si>
  <si>
    <t xml:space="preserve">Gergelim Branco</t>
  </si>
  <si>
    <t xml:space="preserve">gergelim-preto</t>
  </si>
  <si>
    <t xml:space="preserve">Gergelim Preto</t>
  </si>
  <si>
    <t xml:space="preserve">goiabada-cascao</t>
  </si>
  <si>
    <t xml:space="preserve">Goiabada Cascão</t>
  </si>
  <si>
    <t xml:space="preserve">Marcon Atadaco Beltrao</t>
  </si>
  <si>
    <t xml:space="preserve">goma-agar</t>
  </si>
  <si>
    <t xml:space="preserve">Goma Agar</t>
  </si>
  <si>
    <t xml:space="preserve">goma-xantana</t>
  </si>
  <si>
    <t xml:space="preserve">Goma Xantana</t>
  </si>
  <si>
    <t xml:space="preserve">gorgonzola</t>
  </si>
  <si>
    <t xml:space="preserve">Gorgonzola</t>
  </si>
  <si>
    <t xml:space="preserve">grao-de-bico-cozido</t>
  </si>
  <si>
    <t xml:space="preserve">Grão de Bico Cozido</t>
  </si>
  <si>
    <t xml:space="preserve">laranja</t>
  </si>
  <si>
    <t xml:space="preserve">Laranja</t>
  </si>
  <si>
    <t xml:space="preserve">lecitina-de-soja-liquida</t>
  </si>
  <si>
    <t xml:space="preserve">Lecitina de Soja Liquida</t>
  </si>
  <si>
    <t xml:space="preserve">lecitina-de-soja-em-po</t>
  </si>
  <si>
    <t xml:space="preserve">Lecitina de Soja em Pó</t>
  </si>
  <si>
    <t xml:space="preserve">leite-de-amendoa-de-cx</t>
  </si>
  <si>
    <t xml:space="preserve">Leite de Amendoa de Cx</t>
  </si>
  <si>
    <t xml:space="preserve">Peperina</t>
  </si>
  <si>
    <t xml:space="preserve">leite-de-coco-menin</t>
  </si>
  <si>
    <t xml:space="preserve">Leite de Coco Menin</t>
  </si>
  <si>
    <t xml:space="preserve">leite-de-coco-de-vidro</t>
  </si>
  <si>
    <t xml:space="preserve">Leite de Coco de Vidro</t>
  </si>
  <si>
    <t xml:space="preserve">leite-de-coco-em-po-sabor-verde</t>
  </si>
  <si>
    <t xml:space="preserve">Leite de Coco em Pó Sabor Verde</t>
  </si>
  <si>
    <t xml:space="preserve">leite-de-soja</t>
  </si>
  <si>
    <t xml:space="preserve">Leite de Soja</t>
  </si>
  <si>
    <t xml:space="preserve">lemon-pepper</t>
  </si>
  <si>
    <t xml:space="preserve">Lemon Pepper</t>
  </si>
  <si>
    <t xml:space="preserve">levedura-nutricional</t>
  </si>
  <si>
    <t xml:space="preserve">Levedura Nutricional</t>
  </si>
  <si>
    <t xml:space="preserve">Mercado Livre</t>
  </si>
  <si>
    <t xml:space="preserve">linhaca-dourada</t>
  </si>
  <si>
    <t xml:space="preserve">Linhaça Dourada</t>
  </si>
  <si>
    <t xml:space="preserve">louro</t>
  </si>
  <si>
    <t xml:space="preserve">Louro</t>
  </si>
  <si>
    <t xml:space="preserve">mandioca-cozida</t>
  </si>
  <si>
    <t xml:space="preserve">Mandioca Cozida</t>
  </si>
  <si>
    <t xml:space="preserve">mandioquinha</t>
  </si>
  <si>
    <t xml:space="preserve">Mandioquinha</t>
  </si>
  <si>
    <t xml:space="preserve">manjericao</t>
  </si>
  <si>
    <t xml:space="preserve">Manjericao</t>
  </si>
  <si>
    <t xml:space="preserve">Ademir</t>
  </si>
  <si>
    <t xml:space="preserve">manteiga-farbom</t>
  </si>
  <si>
    <t xml:space="preserve">Manteiga Farbom</t>
  </si>
  <si>
    <t xml:space="preserve">manteiga-de-cacau</t>
  </si>
  <si>
    <t xml:space="preserve">Manteiga de Cacau</t>
  </si>
  <si>
    <t xml:space="preserve">Ingredientes Online</t>
  </si>
  <si>
    <t xml:space="preserve">manteiga-sem-sal</t>
  </si>
  <si>
    <t xml:space="preserve">Manteiga sem Sal</t>
  </si>
  <si>
    <t xml:space="preserve">massa-de-pizza-vegana</t>
  </si>
  <si>
    <t xml:space="preserve">Massa de Pizza Vegana</t>
  </si>
  <si>
    <t xml:space="preserve">un</t>
  </si>
  <si>
    <t xml:space="preserve">massa-para-quiche</t>
  </si>
  <si>
    <t xml:space="preserve">Massa para Quiche</t>
  </si>
  <si>
    <t xml:space="preserve">massa-para-torta-doce</t>
  </si>
  <si>
    <t xml:space="preserve">Massa para Torta Doce</t>
  </si>
  <si>
    <t xml:space="preserve">matcha</t>
  </si>
  <si>
    <t xml:space="preserve">Matcha</t>
  </si>
  <si>
    <t xml:space="preserve">maca-com-casca-e-sem-semente</t>
  </si>
  <si>
    <t xml:space="preserve">Maçã com Casca e sem Semente</t>
  </si>
  <si>
    <t xml:space="preserve">mel-de-abelha</t>
  </si>
  <si>
    <t xml:space="preserve">Mel de Abelha</t>
  </si>
  <si>
    <t xml:space="preserve">milho-em-conserva</t>
  </si>
  <si>
    <t xml:space="preserve">Milho em Conserva</t>
  </si>
  <si>
    <t xml:space="preserve">mix-de-legumes-fruteira</t>
  </si>
  <si>
    <t xml:space="preserve">Mix de Legumes Fruteira</t>
  </si>
  <si>
    <t xml:space="preserve">mix-sem-gluten-c-goma-xantana</t>
  </si>
  <si>
    <t xml:space="preserve">Mix sem Glúten C/ Goma Xantana</t>
  </si>
  <si>
    <t xml:space="preserve">molho-de-tomate</t>
  </si>
  <si>
    <t xml:space="preserve">Molho de Tomate</t>
  </si>
  <si>
    <t xml:space="preserve">morangos-frescos-sem-folha</t>
  </si>
  <si>
    <t xml:space="preserve">Morangos Frescos sem Folha</t>
  </si>
  <si>
    <t xml:space="preserve">nata-feirinha</t>
  </si>
  <si>
    <t xml:space="preserve">Nata Feirinha</t>
  </si>
  <si>
    <t xml:space="preserve">noz-moscada</t>
  </si>
  <si>
    <t xml:space="preserve">Noz-moscada</t>
  </si>
  <si>
    <t xml:space="preserve">Oraganicos e Cia</t>
  </si>
  <si>
    <t xml:space="preserve">nozes-pecan</t>
  </si>
  <si>
    <t xml:space="preserve">Nozes Pecan</t>
  </si>
  <si>
    <t xml:space="preserve">ora-pro-nobis</t>
  </si>
  <si>
    <t xml:space="preserve">Ora-pro-nóbis</t>
  </si>
  <si>
    <t xml:space="preserve">oregano-seco</t>
  </si>
  <si>
    <t xml:space="preserve">Orégano Seco</t>
  </si>
  <si>
    <t xml:space="preserve">ovos</t>
  </si>
  <si>
    <t xml:space="preserve">Ovos</t>
  </si>
  <si>
    <t xml:space="preserve">pasta-de-amendoim</t>
  </si>
  <si>
    <t xml:space="preserve">Pasta de Amendoim</t>
  </si>
  <si>
    <t xml:space="preserve">pimenta-do-reino</t>
  </si>
  <si>
    <t xml:space="preserve">Pimenta-do-reino</t>
  </si>
  <si>
    <t xml:space="preserve">polvilho-azedo</t>
  </si>
  <si>
    <t xml:space="preserve">Polvilho Azedo</t>
  </si>
  <si>
    <t xml:space="preserve">polvilho-doce</t>
  </si>
  <si>
    <t xml:space="preserve">Polvilho Doce</t>
  </si>
  <si>
    <t xml:space="preserve">probiotico</t>
  </si>
  <si>
    <t xml:space="preserve">Probiotico</t>
  </si>
  <si>
    <t xml:space="preserve">Farmacia</t>
  </si>
  <si>
    <t xml:space="preserve">psyllium</t>
  </si>
  <si>
    <t xml:space="preserve">Psyllium</t>
  </si>
  <si>
    <t xml:space="preserve">paprica-defumada</t>
  </si>
  <si>
    <t xml:space="preserve">Páprica Defumada</t>
  </si>
  <si>
    <t xml:space="preserve">pao-funcional-levissima-p-1-sanduiche</t>
  </si>
  <si>
    <t xml:space="preserve">Pão Funcional Levissima P 1 Sanduiche</t>
  </si>
  <si>
    <t xml:space="preserve">pao-para-sanduiche</t>
  </si>
  <si>
    <t xml:space="preserve">Pão-para Sanduiche</t>
  </si>
  <si>
    <t xml:space="preserve">quinoa-em-flocos</t>
  </si>
  <si>
    <t xml:space="preserve">Quinoa em Flocos</t>
  </si>
  <si>
    <t xml:space="preserve">quinoa-em-graos</t>
  </si>
  <si>
    <t xml:space="preserve">Quinoa em Grãos</t>
  </si>
  <si>
    <t xml:space="preserve">recheio-de-carne-para-esfira</t>
  </si>
  <si>
    <t xml:space="preserve">Recheio de Carne para Esfira</t>
  </si>
  <si>
    <t xml:space="preserve">ricota</t>
  </si>
  <si>
    <t xml:space="preserve">Ricota</t>
  </si>
  <si>
    <t xml:space="preserve">Cometa</t>
  </si>
  <si>
    <t xml:space="preserve">sal-integral</t>
  </si>
  <si>
    <t xml:space="preserve">Sal Integral</t>
  </si>
  <si>
    <t xml:space="preserve">sal-temperado-maluzices</t>
  </si>
  <si>
    <t xml:space="preserve">Sal Temperado Maluzices</t>
  </si>
  <si>
    <t xml:space="preserve">salsinha</t>
  </si>
  <si>
    <t xml:space="preserve">Salsinha</t>
  </si>
  <si>
    <t xml:space="preserve">salsao</t>
  </si>
  <si>
    <t xml:space="preserve">Salsão</t>
  </si>
  <si>
    <t xml:space="preserve">semente-de-abobora</t>
  </si>
  <si>
    <t xml:space="preserve">Semente de Abóbora</t>
  </si>
  <si>
    <t xml:space="preserve">semente-de-girassol</t>
  </si>
  <si>
    <t xml:space="preserve">Semente de Girassol</t>
  </si>
  <si>
    <t xml:space="preserve">semente-de-motarda</t>
  </si>
  <si>
    <t xml:space="preserve">Semente de Motarda</t>
  </si>
  <si>
    <t xml:space="preserve">shoyu</t>
  </si>
  <si>
    <t xml:space="preserve">Shoyu</t>
  </si>
  <si>
    <t xml:space="preserve">suco-de-limao</t>
  </si>
  <si>
    <t xml:space="preserve">Suco de Limão</t>
  </si>
  <si>
    <t xml:space="preserve">tamara-sem-caroco</t>
  </si>
  <si>
    <t xml:space="preserve">Tamara sem Caroço</t>
  </si>
  <si>
    <t xml:space="preserve">tamara-sem-caroco-cozida</t>
  </si>
  <si>
    <t xml:space="preserve">Tamara sem Caroço Cozida</t>
  </si>
  <si>
    <t xml:space="preserve">tomate-cereja</t>
  </si>
  <si>
    <t xml:space="preserve">Tomate Cereja</t>
  </si>
  <si>
    <t xml:space="preserve">tomate-para-molho</t>
  </si>
  <si>
    <t xml:space="preserve">Tomate para Molho</t>
  </si>
  <si>
    <t xml:space="preserve">Melo</t>
  </si>
  <si>
    <t xml:space="preserve">tomate-para-sanduba</t>
  </si>
  <si>
    <t xml:space="preserve">Tomate para Sanduba</t>
  </si>
  <si>
    <t xml:space="preserve">tomilho</t>
  </si>
  <si>
    <t xml:space="preserve">Tomilho</t>
  </si>
  <si>
    <t xml:space="preserve">vinagre-de-maca</t>
  </si>
  <si>
    <t xml:space="preserve">Vinagre de Maçã</t>
  </si>
  <si>
    <t xml:space="preserve">xylitol</t>
  </si>
  <si>
    <t xml:space="preserve">Xylitol</t>
  </si>
  <si>
    <t xml:space="preserve">zestes-de-laranja</t>
  </si>
  <si>
    <t xml:space="preserve">Zestes de Laranja</t>
  </si>
  <si>
    <t xml:space="preserve">agua</t>
  </si>
  <si>
    <t xml:space="preserve">Água</t>
  </si>
  <si>
    <t xml:space="preserve">oleo-de-coco</t>
  </si>
  <si>
    <t xml:space="preserve">Óleo de Coco</t>
  </si>
  <si>
    <t xml:space="preserve">Insumo novo: acrescente a linha aqui embaixo, invente um código sem espaço (ex.: farinha-de-aveia) e preencha as colunas amarelas.</t>
  </si>
  <si>
    <t xml:space="preserve">Produtos e receitas</t>
  </si>
  <si>
    <t xml:space="preserve">Um por linha. Os 12 primeiros são os que você vende; os de baixo são bases e sub-receitas que entram em outras fichas.</t>
  </si>
  <si>
    <t xml:space="preserve">Categoria</t>
  </si>
  <si>
    <t xml:space="preserve">Rendimento (porções)</t>
  </si>
  <si>
    <t xml:space="preserve">Rendimento (kg)</t>
  </si>
  <si>
    <t xml:space="preserve">Tempo de preparo</t>
  </si>
  <si>
    <t xml:space="preserve">Vende?</t>
  </si>
  <si>
    <t xml:space="preserve">Preço praticado</t>
  </si>
  <si>
    <t xml:space="preserve">Meta de CMV</t>
  </si>
  <si>
    <t xml:space="preserve">Custo da receita</t>
  </si>
  <si>
    <t xml:space="preserve">Custo por porção</t>
  </si>
  <si>
    <t xml:space="preserve">Preço sugerido</t>
  </si>
  <si>
    <t xml:space="preserve">Custo por quilo</t>
  </si>
  <si>
    <t xml:space="preserve">CMV real</t>
  </si>
  <si>
    <t xml:space="preserve">Custo na planilha antiga</t>
  </si>
  <si>
    <t xml:space="preserve">Diferença</t>
  </si>
  <si>
    <t xml:space="preserve">caldo-de-batata-doce</t>
  </si>
  <si>
    <t xml:space="preserve">Caldo de Batata Doce</t>
  </si>
  <si>
    <t xml:space="preserve">Caldos</t>
  </si>
  <si>
    <t xml:space="preserve">10 min</t>
  </si>
  <si>
    <t xml:space="preserve">Sim</t>
  </si>
  <si>
    <t xml:space="preserve">caldo-de-cabotia</t>
  </si>
  <si>
    <t xml:space="preserve">Caldo de Cabotia</t>
  </si>
  <si>
    <t xml:space="preserve">caldo-de-legumes-e-frango</t>
  </si>
  <si>
    <t xml:space="preserve">Caldo de Legumes e Frango</t>
  </si>
  <si>
    <t xml:space="preserve">coxinha-de-batata-doce</t>
  </si>
  <si>
    <t xml:space="preserve">Coxinha Massa Trad</t>
  </si>
  <si>
    <t xml:space="preserve">Salgados fritos</t>
  </si>
  <si>
    <t xml:space="preserve">1H</t>
  </si>
  <si>
    <t xml:space="preserve">cracker-sem-gluten</t>
  </si>
  <si>
    <t xml:space="preserve">Cracker sem Glúten</t>
  </si>
  <si>
    <t xml:space="preserve">Salgados assados</t>
  </si>
  <si>
    <t xml:space="preserve">esfira-de-carne</t>
  </si>
  <si>
    <t xml:space="preserve">Esfira de Carne</t>
  </si>
  <si>
    <t xml:space="preserve">massa-mini-pizza</t>
  </si>
  <si>
    <t xml:space="preserve">Massa Mini Pizza</t>
  </si>
  <si>
    <t xml:space="preserve">Massas e bases</t>
  </si>
  <si>
    <t xml:space="preserve">pao-de-mandioquinha</t>
  </si>
  <si>
    <t xml:space="preserve">Pão de Mandioquinha</t>
  </si>
  <si>
    <t xml:space="preserve">Pães</t>
  </si>
  <si>
    <t xml:space="preserve">2HR</t>
  </si>
  <si>
    <t xml:space="preserve">quiche-de-brocolis</t>
  </si>
  <si>
    <t xml:space="preserve">Quiche de Brócolis</t>
  </si>
  <si>
    <t xml:space="preserve">quiche-de-frango</t>
  </si>
  <si>
    <t xml:space="preserve">Quiche de Frango</t>
  </si>
  <si>
    <t xml:space="preserve">sanduba-de-frango</t>
  </si>
  <si>
    <t xml:space="preserve">Sanduba de Pao-nobis, Frango e Requeiju</t>
  </si>
  <si>
    <t xml:space="preserve">MODO DE PREPARO</t>
  </si>
  <si>
    <t xml:space="preserve">torta-salgada-de-frango</t>
  </si>
  <si>
    <t xml:space="preserve">Torta Salgada de Frango</t>
  </si>
  <si>
    <t xml:space="preserve">40 min</t>
  </si>
  <si>
    <t xml:space="preserve">batida-nuts</t>
  </si>
  <si>
    <t xml:space="preserve">Batida de Nuts</t>
  </si>
  <si>
    <t xml:space="preserve">Bebidas</t>
  </si>
  <si>
    <t xml:space="preserve">5 min</t>
  </si>
  <si>
    <t xml:space="preserve">Não</t>
  </si>
  <si>
    <t xml:space="preserve">Catupiry de Castanha</t>
  </si>
  <si>
    <t xml:space="preserve">coxinha-de-festa</t>
  </si>
  <si>
    <t xml:space="preserve">Coxinha de Festa</t>
  </si>
  <si>
    <t xml:space="preserve">croquete-de-batata-e-frango</t>
  </si>
  <si>
    <t xml:space="preserve">Croquete de Batata e Frango</t>
  </si>
  <si>
    <t xml:space="preserve">croquete-de-carne-e-cabotia</t>
  </si>
  <si>
    <t xml:space="preserve">empada-de-frango</t>
  </si>
  <si>
    <t xml:space="preserve">Empada de Frango</t>
  </si>
  <si>
    <t xml:space="preserve">empadinha-veg</t>
  </si>
  <si>
    <t xml:space="preserve">Empadinha Veg</t>
  </si>
  <si>
    <t xml:space="preserve">empadinha-de-carne</t>
  </si>
  <si>
    <t xml:space="preserve">Empadinha de Carne</t>
  </si>
  <si>
    <t xml:space="preserve">empadinha-de-frango</t>
  </si>
  <si>
    <t xml:space="preserve">Empadinha de Frango</t>
  </si>
  <si>
    <t xml:space="preserve">escondidinho-de-carne</t>
  </si>
  <si>
    <t xml:space="preserve">Escondidinho de Carne</t>
  </si>
  <si>
    <t xml:space="preserve">Outros</t>
  </si>
  <si>
    <t xml:space="preserve">escondidinho-de-frango</t>
  </si>
  <si>
    <t xml:space="preserve">focacciaa</t>
  </si>
  <si>
    <t xml:space="preserve">Focaccia de Tomate e Alecrim</t>
  </si>
  <si>
    <t xml:space="preserve">frango-desfiado-com-molho-de-to</t>
  </si>
  <si>
    <t xml:space="preserve">frango-com-chuchu-e-molho-branc</t>
  </si>
  <si>
    <t xml:space="preserve">Frango com Molho Chuchu e Molho Branco e Arroz com Sementes</t>
  </si>
  <si>
    <t xml:space="preserve">granola-salgada</t>
  </si>
  <si>
    <t xml:space="preserve">Granola Salgada</t>
  </si>
  <si>
    <t xml:space="preserve">granola-salgada-30g</t>
  </si>
  <si>
    <t xml:space="preserve">Leite de Arroz Integral</t>
  </si>
  <si>
    <t xml:space="preserve">15 min</t>
  </si>
  <si>
    <t xml:space="preserve">porcao-maionese-verde</t>
  </si>
  <si>
    <t xml:space="preserve">massa-base-para-pao</t>
  </si>
  <si>
    <t xml:space="preserve">Massa Base para Pao</t>
  </si>
  <si>
    <t xml:space="preserve">massa-de-quiche</t>
  </si>
  <si>
    <t xml:space="preserve">creme-para-quiche-vegan</t>
  </si>
  <si>
    <t xml:space="preserve">quiche-de-frango-e-tomate</t>
  </si>
  <si>
    <t xml:space="preserve">massa-esfira</t>
  </si>
  <si>
    <t xml:space="preserve">massa-de-pizza</t>
  </si>
  <si>
    <t xml:space="preserve">Massa de Pizza</t>
  </si>
  <si>
    <t xml:space="preserve">mix-de-sementes-p-pao</t>
  </si>
  <si>
    <t xml:space="preserve">mix-sem-gluten-c-xantana</t>
  </si>
  <si>
    <t xml:space="preserve">Mix sem Gluten C/ Xantana</t>
  </si>
  <si>
    <t xml:space="preserve">Mix sem Gluten Cris Gutierrez</t>
  </si>
  <si>
    <t xml:space="preserve">molho-oriental</t>
  </si>
  <si>
    <t xml:space="preserve">Molho Oriental</t>
  </si>
  <si>
    <t xml:space="preserve">molho-de-tomate-assado</t>
  </si>
  <si>
    <t xml:space="preserve">Molho de Tomate Assado</t>
  </si>
  <si>
    <t xml:space="preserve">mussarela-de-caju</t>
  </si>
  <si>
    <t xml:space="preserve">Mussarela de Caju</t>
  </si>
  <si>
    <t xml:space="preserve">nuggets-de-frango-e-linhaca</t>
  </si>
  <si>
    <t xml:space="preserve">Nuggets</t>
  </si>
  <si>
    <t xml:space="preserve">pastelzinho-de-festa</t>
  </si>
  <si>
    <t xml:space="preserve">Pastelzinho de Festa</t>
  </si>
  <si>
    <t xml:space="preserve">patinho-acebolado-de-vegetais-a</t>
  </si>
  <si>
    <t xml:space="preserve">Patinho Acebolado com Vegetais Assados</t>
  </si>
  <si>
    <t xml:space="preserve">pao-lowcarb</t>
  </si>
  <si>
    <t xml:space="preserve">Pão Low Carb</t>
  </si>
  <si>
    <t xml:space="preserve">20 min</t>
  </si>
  <si>
    <t xml:space="preserve">pao-caseiro</t>
  </si>
  <si>
    <t xml:space="preserve">pao-func-sanduiche</t>
  </si>
  <si>
    <t xml:space="preserve">Pão Sanduiche</t>
  </si>
  <si>
    <t xml:space="preserve">pao-de-forma-low-carb</t>
  </si>
  <si>
    <t xml:space="preserve">Pão de Forma Low Carb</t>
  </si>
  <si>
    <t xml:space="preserve">pao-de-milho</t>
  </si>
  <si>
    <t xml:space="preserve">Pão de Milho</t>
  </si>
  <si>
    <t xml:space="preserve">30 min</t>
  </si>
  <si>
    <t xml:space="preserve">pao-de-q</t>
  </si>
  <si>
    <t xml:space="preserve">Pão de Q?</t>
  </si>
  <si>
    <t xml:space="preserve">burger-de-grao-de-bico-e-bete</t>
  </si>
  <si>
    <t xml:space="preserve">pao-de-sementes</t>
  </si>
  <si>
    <t xml:space="preserve">Pão de Sementes</t>
  </si>
  <si>
    <t xml:space="preserve">1HR</t>
  </si>
  <si>
    <t xml:space="preserve">quiche-de-ricota-e-alho-poro</t>
  </si>
  <si>
    <t xml:space="preserve">Quiche Ricota, Ora-pro-nóbis e Alho-poró</t>
  </si>
  <si>
    <t xml:space="preserve">quiche-vegan-broc-e-cebola-roxa</t>
  </si>
  <si>
    <t xml:space="preserve">quiche-tomate-e-manj-vegan</t>
  </si>
  <si>
    <t xml:space="preserve">copy-of-quiche-de-ricota-e-alho</t>
  </si>
  <si>
    <t xml:space="preserve">Quiche Ricota, Ora-pro-nóbis e Espinafre</t>
  </si>
  <si>
    <t xml:space="preserve">recheio-de-carne</t>
  </si>
  <si>
    <t xml:space="preserve">Recheio de Carne</t>
  </si>
  <si>
    <t xml:space="preserve">porcao-requeiju</t>
  </si>
  <si>
    <t xml:space="preserve">sanduba-veg</t>
  </si>
  <si>
    <t xml:space="preserve">Sanduba Veg</t>
  </si>
  <si>
    <t xml:space="preserve">Sanduíches</t>
  </si>
  <si>
    <t xml:space="preserve">sanduba-violeta</t>
  </si>
  <si>
    <t xml:space="preserve">Sanduba Violeta</t>
  </si>
  <si>
    <t xml:space="preserve">suco-nobis</t>
  </si>
  <si>
    <t xml:space="preserve">Suco-nóbis</t>
  </si>
  <si>
    <t xml:space="preserve">torta-low-carb-de-brocolis-e-ri</t>
  </si>
  <si>
    <t xml:space="preserve">Torta Low Carb de Brocolis e Ricota</t>
  </si>
  <si>
    <t xml:space="preserve">torta-de-frango-sem-ovos</t>
  </si>
  <si>
    <t xml:space="preserve">Torta de Frango sem Ovos</t>
  </si>
  <si>
    <t xml:space="preserve">Ingredientes das receitas</t>
  </si>
  <si>
    <t xml:space="preserve">Uma linha por ingrediente de cada receita. É daqui que sai o custo de cada produto.</t>
  </si>
  <si>
    <t xml:space="preserve">Código do produto</t>
  </si>
  <si>
    <t xml:space="preserve">Produto</t>
  </si>
  <si>
    <t xml:space="preserve">Código do insumo</t>
  </si>
  <si>
    <t xml:space="preserve">Insumo</t>
  </si>
  <si>
    <t xml:space="preserve">Quantidade (kg)</t>
  </si>
  <si>
    <t xml:space="preserve">Custo</t>
  </si>
  <si>
    <t xml:space="preserve">Conferência</t>
  </si>
  <si>
    <t xml:space="preserve">Compara o que esta planilha calcula com o que a sua planilha antiga calculava. Serve para você conferir se a migração ficou certa.</t>
  </si>
  <si>
    <t xml:space="preserve">O que foi conferido</t>
  </si>
  <si>
    <t xml:space="preserve">Valor</t>
  </si>
  <si>
    <t xml:space="preserve">O que isso quer dizer</t>
  </si>
  <si>
    <t xml:space="preserve">Receitas na planilha</t>
  </si>
  <si>
    <t xml:space="preserve">Cada receita sua virou uma linha na aba Produtos.</t>
  </si>
  <si>
    <t xml:space="preserve">Receitas que a planilha antiga também calculava</t>
  </si>
  <si>
    <t xml:space="preserve">Só estas dá para comparar. As outras a planilha antiga não trazia o custo por porção.</t>
  </si>
  <si>
    <t xml:space="preserve">Receitas com o mesmo custo (diferença abaixo de 1 centavo)</t>
  </si>
  <si>
    <t xml:space="preserve">Estas bateram exatamente com a sua planilha.</t>
  </si>
  <si>
    <t xml:space="preserve">Receitas com custo diferente</t>
  </si>
  <si>
    <t xml:space="preserve">Veja a lista abaixo. Em geral é o alho-poró, explicado no documento que acompanha.</t>
  </si>
  <si>
    <t xml:space="preserve">Maior diferença para cima</t>
  </si>
  <si>
    <t xml:space="preserve">Quanto o maior custo subiu em relação à planilha antiga.</t>
  </si>
  <si>
    <t xml:space="preserve">Maior diferença para baixo</t>
  </si>
  <si>
    <t xml:space="preserve">Quanto o maior custo caiu em relação à planilha antiga.</t>
  </si>
  <si>
    <t xml:space="preserve">Insumos cadastrados</t>
  </si>
  <si>
    <t xml:space="preserve">Tudo que entra em alguma receita.</t>
  </si>
  <si>
    <t xml:space="preserve">Insumos sem preço</t>
  </si>
  <si>
    <t xml:space="preserve">Se aparecer algum, o custo das receitas que o usam está baixo demais.</t>
  </si>
  <si>
    <t xml:space="preserve">Insumos sem data de cotação</t>
  </si>
  <si>
    <t xml:space="preserve">Preencher ajuda a saber quando o preço envelheceu.</t>
  </si>
  <si>
    <t xml:space="preserve">Receitas em que o custo mudou</t>
  </si>
  <si>
    <t xml:space="preserve">Custo agora</t>
  </si>
  <si>
    <t xml:space="preserve">Custo antes</t>
  </si>
  <si>
    <t xml:space="preserve">Para você conferir</t>
  </si>
  <si>
    <t xml:space="preserve">Coisas que a planilha antiga deixava em aberto e que ninguém consegue adivinhar por você. Nada aqui impede de usar a planilha; é a lista do que vale olhar com calma.</t>
  </si>
  <si>
    <t xml:space="preserve">#</t>
  </si>
  <si>
    <t xml:space="preserve">O que encontramos</t>
  </si>
  <si>
    <t xml:space="preserve">Pão-para Sanduiche: comprado por unidade. Falta saber quanto pesa uma unidade para o custo por quilo fechar.</t>
  </si>
  <si>
    <t xml:space="preserve">Massa de Pizza Vegana: comprado por unidade. Falta saber quanto pesa uma unidade para o custo por quilo fechar.</t>
  </si>
  <si>
    <t xml:space="preserve">Pão Funcional Levissima P 1 Sanduiche: comprado por unidade. Falta saber quanto pesa uma unidade para o custo por quilo fechar.</t>
  </si>
  <si>
    <t xml:space="preserve">Probiotico: comprado por unidade. Falta saber quanto pesa uma unidade para o custo por quilo fechar.</t>
  </si>
  <si>
    <t xml:space="preserve">A aba se chama 'PATINHO ACEBOLADO DE VEGETAIS A' mas por dentro está escrito 'PATINHO ACEBOLADO COM VEGETAIS ASSADOS'. Usamos o nome de dentro. Confirmar qual é o certo.</t>
  </si>
  <si>
    <t xml:space="preserve">Frango com Chuchu e Molho Branc: o ingrediente 'ARROZ INTEGRAL COZIDO' não existe na lista de insumos e ficou de fora do custo.</t>
  </si>
  <si>
    <t xml:space="preserve">A aba se chama 'FRANGO COM CHUCHU E MOLHO BRANC' mas por dentro está escrito 'FRANGO COM MOLHO CHUCHU E MOLHO BRANCO E ARROZ COM SEMENTES'. Usamos o nome de dentro. Confirmar qual é o certo.</t>
  </si>
  <si>
    <t xml:space="preserve">A aba se chama 'SANDUBA DE FRANGO' mas por dentro está escrito 'SANDUBA DE PAO-NOBIS, FRANGO E REQUEIJU'. Usamos o nome de dentro. Confirmar qual é o certo.</t>
  </si>
  <si>
    <t xml:space="preserve">A aba se chama 'ESCONDIDINHO DE FRANGO' mas por dentro está escrito 'ESCONDIDINHO DE CARNE'. Usamos o nome de dentro. Confirmar qual é o certo.</t>
  </si>
  <si>
    <t xml:space="preserve">A aba se chama 'COXINHA de batata doce' mas por dentro está escrito 'COXINHA MASSA TRAD'. Usamos o nome de dentro. Confirmar qual é o certo.</t>
  </si>
  <si>
    <t xml:space="preserve">A aba se chama 'CREME DE CASTANHA' mas por dentro está escrito 'CATUPIRY DE CASTANHA'. Usamos o nome de dentro. Confirmar qual é o certo.</t>
  </si>
  <si>
    <t xml:space="preserve">A aba se chama 'PÃO CASEIRO' mas por dentro está escrito 'PÃO ROBERTA'. Usamos o nome de dentro. Confirmar qual é o certo.</t>
  </si>
  <si>
    <t xml:space="preserve">A aba se chama 'PÃO LOWCARB' mas por dentro está escrito 'PÃO low carb'. Usamos o nome de dentro. Confirmar qual é o certo.</t>
  </si>
  <si>
    <t xml:space="preserve">A aba se chama 'MASSA ESFIRA' mas por dentro está escrito 'MASSA DE ESFIRA'. Usamos o nome de dentro. Confirmar qual é o certo.</t>
  </si>
  <si>
    <t xml:space="preserve">A aba se chama 'MASSA DE QUICHE' mas por dentro está escrito 'MASSA LOW CARB PARA QUICHE'. Usamos o nome de dentro. Confirmar qual é o certo.</t>
  </si>
  <si>
    <t xml:space="preserve">A aba se chama 'MIX DE SEMENTES P PAO' mas por dentro está escrito 'MIX DE SEMENTES PARA PÃO'. Usamos o nome de dentro. Confirmar qual é o certo.</t>
  </si>
  <si>
    <t xml:space="preserve">A aba se chama 'GRANOLA SALGADA (30g)' mas por dentro está escrito 'GRANOLA SALGADA'. Usamos o nome de dentro. Confirmar qual é o certo.</t>
  </si>
  <si>
    <t xml:space="preserve">A aba se chama 'PÃO FUNC SANDUICHE' mas por dentro está escrito 'PÃO sanduiche'. Usamos o nome de dentro. Confirmar qual é o certo.</t>
  </si>
  <si>
    <t xml:space="preserve">Empada de Frango: o ingrediente 'MASSA PARA EMPADA COM GRAO DE BICO' não existe na lista de insumos e ficou de fora do custo.</t>
  </si>
  <si>
    <t xml:space="preserve">Manteiga Vegana: o ingrediente 'OLEO DE GIRASSOL' não existe na lista de insumos e ficou de fora do custo.</t>
  </si>
  <si>
    <t xml:space="preserve">Massa de Pizza: o ingrediente 'MIX SEM GLÚTEN S/ GOMA XANTANA' não existe na lista de insumos e ficou de fora do custo.</t>
  </si>
  <si>
    <t xml:space="preserve">A aba se chama 'CREME PARA QUICHE' mas por dentro está escrito 'MASSA LOW CARB PARA QUICHE'. Usamos o nome de dentro. Confirmar qual é o certo.</t>
  </si>
  <si>
    <t xml:space="preserve">A aba se chama 'CREME PARA QUICHE VEGAN' mas por dentro está escrito 'MASSA LOW CARB PARA QUICHE'. Usamos o nome de dentro. Confirmar qual é o certo.</t>
  </si>
  <si>
    <t xml:space="preserve">A aba se chama 'focacciaa' mas por dentro está escrito 'Focaccia de tomate e alecrim'. Usamos o nome de dentro. Confirmar qual é o certo.</t>
  </si>
  <si>
    <t xml:space="preserve">Molho Oriental: o ingrediente 'MELADO DE CANA' não existe na lista de insumos e ficou de fora do custo.</t>
  </si>
  <si>
    <t xml:space="preserve">A aba se chama 'porção REQUEIJU' mas por dentro está escrito 'REQUEIJU'. Usamos o nome de dentro. Confirmar qual é o certo.</t>
  </si>
  <si>
    <t xml:space="preserve">A aba se chama ' porção MAIONESE VERDE' mas por dentro está escrito 'MAIONESE VERDE'. Usamos o nome de dentro. Confirmar qual é o certo.</t>
  </si>
  <si>
    <t xml:space="preserve">Batida Nuts: o ingrediente 'GELO' não existe na lista de insumos e ficou de fora do custo.</t>
  </si>
  <si>
    <t xml:space="preserve">A aba se chama 'batida NUTS' mas por dentro está escrito 'BATIDA DE NUTS'. Usamos o nome de dentro. Confirmar qual é o certo.</t>
  </si>
  <si>
    <t xml:space="preserve">Sanduba Violeta: o ingrediente 'PAO VIOLETA SEMI INTEGRAL' não existe na lista de insumos e ficou de fora do custo.</t>
  </si>
  <si>
    <t xml:space="preserve">Sanduba Violeta: o ingrediente 'QUEIJO COLONIAL FARBOM' não existe na lista de insumos e ficou de fora do custo.</t>
  </si>
  <si>
    <t xml:space="preserve">A aba se chama 'PÃO DE Q' mas por dentro está escrito 'PÃO DE Q?'. Usamos o nome de dentro. Confirmar qual é o certo.</t>
  </si>
  <si>
    <t xml:space="preserve">A aba se chama 'BURGER DE GRÃO DE BICO E BETE' mas por dentro está escrito 'PÃO DE Q?'. Usamos o nome de dentro. Confirmar qual é o certo.</t>
  </si>
  <si>
    <t xml:space="preserve">A aba se chama 'NUGGETS DE FRANGO E LINHAÇA' mas por dentro está escrito 'NUGGETS'. Usamos o nome de dentro. Confirmar qual é o certo.</t>
  </si>
  <si>
    <t xml:space="preserve">A aba se chama 'CROQUETE DE CARNE E CABOTIA' mas por dentro está escrito 'CROQUETE DE BATATA E FRANGO'. Usamos o nome de dentro. Confirmar qual é o certo.</t>
  </si>
  <si>
    <t xml:space="preserve">A aba se chama 'TORTA LOW CARB DE BRÓCOLIS E RI' mas por dentro está escrito 'TORTA LOW CARB DE BROCOLIS E RICOTA'. Usamos o nome de dentro. Confirmar qual é o certo.</t>
  </si>
  <si>
    <t xml:space="preserve">Pão-nóbis: o ingrediente 'OLEO DE GIRASSOL' não existe na lista de insumos e ficou de fora do custo.</t>
  </si>
  <si>
    <t xml:space="preserve">A aba se chama 'QUICHE DE RICOTA E ALHO-PORÓ' mas por dentro está escrito 'QUICHE RICOTA, ORA-PRO-NÓBIS E ALHO-PORÓ'. Usamos o nome de dentro. Confirmar qual é o certo.</t>
  </si>
  <si>
    <t xml:space="preserve">A aba se chama 'Copy of QUICHE DE RICOTA E ALHO' mas por dentro está escrito 'QUICHE RICOTA, ORA-PRO-NÓBIS E espinafre'. Usamos o nome de dentro. Confirmar qual é o certo.</t>
  </si>
  <si>
    <t xml:space="preserve">A aba se chama 'QUICHE VEGAN BROC E CEBOLA ROXA' mas por dentro está escrito 'QUICHE RICOTA, ORA-PRO-NÓBIS E ALHO-PORÓ'. Usamos o nome de dentro. Confirmar qual é o certo.</t>
  </si>
  <si>
    <t xml:space="preserve">A aba se chama 'QUICHE TOMATE E MANJ VEGAN' mas por dentro está escrito 'QUICHE RICOTA, ORA-PRO-NÓBIS E ALHO-PORÓ'. Usamos o nome de dentro. Confirmar qual é o certo.</t>
  </si>
  <si>
    <t xml:space="preserve">A aba se chama 'QUICHE DE FRANGO E TOMATE' mas por dentro está escrito 'MASSA LOW CARB PARA QUICHE'. Usamos o nome de dentro. Confirmar qual é o certo.</t>
  </si>
  <si>
    <t xml:space="preserve">Leite de Amendoim: o ingrediente 'AMENDOIM BONJE' não existe na lista de insumos e ficou de fora do custo.</t>
  </si>
  <si>
    <t xml:space="preserve">Leite de Arroz: o ingrediente 'ARROZ INTEGRAL COZIDO SEM SAL' não existe na lista de insumos e ficou de fora do custo.</t>
  </si>
  <si>
    <t xml:space="preserve">A aba se chama 'LEITE DE ARROZ' mas por dentro está escrito 'LEITE DE ARROZ INTEGRAL'. Usamos o nome de dentro. Confirmar qual é o certo.</t>
  </si>
  <si>
    <t xml:space="preserve">A aba se chama 'FRANGO DESFIADO COM MOLHO DE TO' mas por dentro está escrito 'FRANGO DESFIADO COM MOLHO DE TOMATE'. Usamos o nome de dentro. Confirmar qual é o certo.</t>
  </si>
  <si>
    <t xml:space="preserve">Listas</t>
  </si>
  <si>
    <t xml:space="preserve">Alimentam as caixinhas de escolha das outras abas.</t>
  </si>
  <si>
    <t xml:space="preserve">Categorias</t>
  </si>
  <si>
    <t xml:space="preserve">Unidades</t>
  </si>
  <si>
    <t xml:space="preserve">Fornecedores</t>
  </si>
</sst>
</file>

<file path=xl/styles.xml><?xml version="1.0" encoding="utf-8"?>
<styleSheet xmlns="http://schemas.openxmlformats.org/spreadsheetml/2006/main">
  <numFmts count="8">
    <numFmt numFmtId="164" formatCode="General"/>
    <numFmt numFmtId="165" formatCode="#,##0.000"/>
    <numFmt numFmtId="166" formatCode="0.00"/>
    <numFmt numFmtId="167" formatCode="&quot;R$ &quot;#,##0.0000"/>
    <numFmt numFmtId="168" formatCode="#,##0.##"/>
    <numFmt numFmtId="169" formatCode="&quot;R$ &quot;#,##0.00"/>
    <numFmt numFmtId="170" formatCode="00%"/>
    <numFmt numFmtId="171" formatCode="0"/>
  </numFmts>
  <fonts count="16">
    <font>
      <sz val="11"/>
      <color theme="1"/>
      <name val="Calibri"/>
      <family val="2"/>
      <charset val="1"/>
    </font>
    <font>
      <sz val="10"/>
      <name val="Arial"/>
      <family val="0"/>
    </font>
    <font>
      <sz val="10"/>
      <name val="Arial"/>
      <family val="0"/>
    </font>
    <font>
      <sz val="10"/>
      <name val="Arial"/>
      <family val="0"/>
    </font>
    <font>
      <b val="true"/>
      <sz val="18"/>
      <color rgb="FF464028"/>
      <name val="Arial"/>
      <family val="0"/>
      <charset val="1"/>
    </font>
    <font>
      <sz val="11"/>
      <color rgb="FF666666"/>
      <name val="Arial"/>
      <family val="0"/>
      <charset val="1"/>
    </font>
    <font>
      <sz val="10"/>
      <name val="Arial"/>
      <family val="0"/>
      <charset val="1"/>
    </font>
    <font>
      <b val="true"/>
      <sz val="12"/>
      <color rgb="FF66713F"/>
      <name val="Arial"/>
      <family val="0"/>
      <charset val="1"/>
    </font>
    <font>
      <b val="true"/>
      <sz val="14"/>
      <color rgb="FF464028"/>
      <name val="Arial"/>
      <family val="0"/>
      <charset val="1"/>
    </font>
    <font>
      <sz val="10"/>
      <color rgb="FF666666"/>
      <name val="Arial"/>
      <family val="0"/>
      <charset val="1"/>
    </font>
    <font>
      <b val="true"/>
      <sz val="10"/>
      <color rgb="FFFFFFFF"/>
      <name val="Arial"/>
      <family val="0"/>
      <charset val="1"/>
    </font>
    <font>
      <b val="true"/>
      <sz val="10"/>
      <name val="Arial"/>
      <family val="0"/>
      <charset val="1"/>
    </font>
    <font>
      <sz val="10"/>
      <color rgb="FF008000"/>
      <name val="Arial"/>
      <family val="0"/>
      <charset val="1"/>
    </font>
    <font>
      <sz val="10"/>
      <color rgb="FF0000FF"/>
      <name val="Arial"/>
      <family val="0"/>
      <charset val="1"/>
    </font>
    <font>
      <sz val="10"/>
      <name val="Arial"/>
      <family val="2"/>
    </font>
    <font>
      <b val="true"/>
      <sz val="11"/>
      <color rgb="FF9C5C42"/>
      <name val="Arial"/>
      <family val="0"/>
      <charset val="1"/>
    </font>
  </fonts>
  <fills count="5">
    <fill>
      <patternFill patternType="none"/>
    </fill>
    <fill>
      <patternFill patternType="gray125"/>
    </fill>
    <fill>
      <patternFill patternType="solid">
        <fgColor rgb="FF464028"/>
        <bgColor rgb="FF333300"/>
      </patternFill>
    </fill>
    <fill>
      <patternFill patternType="solid">
        <fgColor rgb="FFEFF1E3"/>
        <bgColor rgb="FFFFF9D6"/>
      </patternFill>
    </fill>
    <fill>
      <patternFill patternType="solid">
        <fgColor rgb="FFFFF9D6"/>
        <bgColor rgb="FFEFF1E3"/>
      </patternFill>
    </fill>
  </fills>
  <borders count="2">
    <border diagonalUp="false" diagonalDown="false">
      <left/>
      <right/>
      <top/>
      <bottom/>
      <diagonal/>
    </border>
    <border diagonalUp="false" diagonalDown="false">
      <left/>
      <right/>
      <top/>
      <bottom style="thin">
        <color rgb="FFDCD9C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7" fontId="12"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false">
      <alignment horizontal="general" vertical="bottom" textRotation="0" wrapText="false" indent="0" shrinkToFit="false"/>
      <protection locked="true" hidden="false"/>
    </xf>
    <xf numFmtId="169" fontId="13" fillId="4" borderId="1" xfId="0" applyFont="true" applyBorder="true" applyAlignment="false" applyProtection="false">
      <alignment horizontal="general" vertical="bottom" textRotation="0" wrapText="false" indent="0" shrinkToFit="false"/>
      <protection locked="true" hidden="false"/>
    </xf>
    <xf numFmtId="170" fontId="13" fillId="4"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center" vertical="bottom" textRotation="0" wrapText="false" indent="0" shrinkToFit="false"/>
      <protection locked="true" hidden="false"/>
    </xf>
    <xf numFmtId="169" fontId="11"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713F"/>
      <rgbColor rgb="FF800080"/>
      <rgbColor rgb="FF008080"/>
      <rgbColor rgb="FFC0C0C0"/>
      <rgbColor rgb="FF808080"/>
      <rgbColor rgb="FF9999FF"/>
      <rgbColor rgb="FF9C5C42"/>
      <rgbColor rgb="FFFFF9D6"/>
      <rgbColor rgb="FFCCFFFF"/>
      <rgbColor rgb="FF660066"/>
      <rgbColor rgb="FFFF8080"/>
      <rgbColor rgb="FF0066CC"/>
      <rgbColor rgb="FFDCD9C6"/>
      <rgbColor rgb="FF000080"/>
      <rgbColor rgb="FFFF00FF"/>
      <rgbColor rgb="FFFFFF00"/>
      <rgbColor rgb="FF00FFFF"/>
      <rgbColor rgb="FF800080"/>
      <rgbColor rgb="FF800000"/>
      <rgbColor rgb="FF008080"/>
      <rgbColor rgb="FF0000FF"/>
      <rgbColor rgb="FF00CCFF"/>
      <rgbColor rgb="FFCCFFFF"/>
      <rgbColor rgb="FFEFF1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4640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4"/>
  </cols>
  <sheetData>
    <row r="2" customFormat="false" ht="25.5" hidden="false" customHeight="true" outlineLevel="0" collapsed="false">
      <c r="B2" s="1" t="s">
        <v>0</v>
      </c>
    </row>
    <row r="3" customFormat="false" ht="15" hidden="false" customHeight="tru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15" hidden="false" customHeight="true" outlineLevel="0" collapsed="false">
      <c r="B6" s="3" t="s">
        <v>3</v>
      </c>
    </row>
    <row r="7" customFormat="false" ht="15" hidden="false" customHeight="true" outlineLevel="0" collapsed="false">
      <c r="B7" s="3" t="s">
        <v>4</v>
      </c>
    </row>
    <row r="8" customFormat="false" ht="15" hidden="false" customHeight="true" outlineLevel="0" collapsed="false">
      <c r="B8" s="3" t="s">
        <v>5</v>
      </c>
    </row>
    <row r="9" customFormat="false" ht="15" hidden="false" customHeight="true" outlineLevel="0" collapsed="false">
      <c r="B9" s="3" t="s">
        <v>6</v>
      </c>
    </row>
    <row r="10" customFormat="false" ht="15" hidden="false" customHeight="false" outlineLevel="0" collapsed="false">
      <c r="B10" s="3"/>
    </row>
    <row r="11" customFormat="false" ht="15" hidden="false" customHeight="false" outlineLevel="0" collapsed="false">
      <c r="B11" s="4" t="s">
        <v>7</v>
      </c>
    </row>
    <row r="12" customFormat="false" ht="15" hidden="false" customHeight="true" outlineLevel="0" collapsed="false">
      <c r="B12" s="3" t="s">
        <v>8</v>
      </c>
    </row>
    <row r="13" customFormat="false" ht="15" hidden="false" customHeight="true" outlineLevel="0" collapsed="false">
      <c r="B13" s="3" t="s">
        <v>9</v>
      </c>
    </row>
    <row r="14" customFormat="false" ht="15" hidden="false" customHeight="true" outlineLevel="0" collapsed="false">
      <c r="B14" s="3" t="s">
        <v>10</v>
      </c>
    </row>
    <row r="15" customFormat="false" ht="15" hidden="false" customHeight="true" outlineLevel="0" collapsed="false">
      <c r="B15" s="3" t="s">
        <v>11</v>
      </c>
    </row>
    <row r="16" customFormat="false" ht="15" hidden="false" customHeight="true" outlineLevel="0" collapsed="false">
      <c r="B16" s="3" t="s">
        <v>12</v>
      </c>
    </row>
    <row r="17" customFormat="false" ht="15" hidden="false" customHeight="false" outlineLevel="0" collapsed="false">
      <c r="B17" s="3"/>
    </row>
    <row r="18" customFormat="false" ht="15" hidden="false" customHeight="false" outlineLevel="0" collapsed="false">
      <c r="B18" s="4" t="s">
        <v>13</v>
      </c>
    </row>
    <row r="19" customFormat="false" ht="30" hidden="false" customHeight="true" outlineLevel="0" collapsed="false">
      <c r="B19" s="3" t="s">
        <v>14</v>
      </c>
    </row>
    <row r="20" customFormat="false" ht="30" hidden="false" customHeight="true" outlineLevel="0" collapsed="false">
      <c r="B20" s="3" t="s">
        <v>15</v>
      </c>
    </row>
    <row r="21" customFormat="false" ht="15" hidden="false" customHeight="true" outlineLevel="0" collapsed="false">
      <c r="B21" s="3" t="s">
        <v>16</v>
      </c>
    </row>
    <row r="22" customFormat="false" ht="15" hidden="false" customHeight="true" outlineLevel="0" collapsed="false">
      <c r="B22" s="3" t="s">
        <v>17</v>
      </c>
    </row>
    <row r="23" customFormat="false" ht="15" hidden="false" customHeight="true" outlineLevel="0" collapsed="false">
      <c r="B23" s="3" t="s">
        <v>18</v>
      </c>
    </row>
    <row r="24" customFormat="false" ht="15" hidden="false" customHeight="true" outlineLevel="0" collapsed="false">
      <c r="B24" s="3" t="s">
        <v>19</v>
      </c>
    </row>
    <row r="25" customFormat="false" ht="15" hidden="false" customHeight="true" outlineLevel="0" collapsed="false">
      <c r="B25" s="3" t="s">
        <v>20</v>
      </c>
    </row>
    <row r="26" customFormat="false" ht="15" hidden="false" customHeight="false" outlineLevel="0" collapsed="false">
      <c r="B26" s="3"/>
    </row>
    <row r="27" customFormat="false" ht="15" hidden="false" customHeight="false" outlineLevel="0" collapsed="false">
      <c r="B27" s="4" t="s">
        <v>21</v>
      </c>
    </row>
    <row r="28" customFormat="false" ht="45" hidden="false" customHeight="true" outlineLevel="0" collapsed="false">
      <c r="B28" s="3" t="s">
        <v>22</v>
      </c>
    </row>
    <row r="29" customFormat="false" ht="15" hidden="false" customHeight="false" outlineLevel="0" collapsed="false">
      <c r="B29" s="3"/>
    </row>
    <row r="30" customFormat="false" ht="15" hidden="false" customHeight="false" outlineLevel="0" collapsed="false">
      <c r="B30" s="4" t="s">
        <v>23</v>
      </c>
    </row>
    <row r="31" customFormat="false" ht="30" hidden="false" customHeight="true" outlineLevel="0" collapsed="false">
      <c r="B31" s="3" t="s">
        <v>24</v>
      </c>
    </row>
    <row r="32" customFormat="false" ht="15" hidden="false" customHeight="true" outlineLevel="0" collapsed="false">
      <c r="B32" s="3" t="s">
        <v>25</v>
      </c>
    </row>
    <row r="33" customFormat="false" ht="30" hidden="false" customHeight="true" outlineLevel="0" collapsed="false">
      <c r="B33" s="3" t="s">
        <v>26</v>
      </c>
    </row>
    <row r="34" customFormat="false" ht="15" hidden="false" customHeight="false" outlineLevel="0" collapsed="false">
      <c r="B34" s="3"/>
    </row>
    <row r="35" customFormat="false" ht="15" hidden="false" customHeight="false" outlineLevel="0" collapsed="false">
      <c r="B35" s="4" t="s">
        <v>27</v>
      </c>
    </row>
    <row r="36" customFormat="false" ht="45" hidden="false" customHeight="true" outlineLevel="0" collapsed="false">
      <c r="B36" s="3" t="s">
        <v>28</v>
      </c>
    </row>
    <row r="37" customFormat="false" ht="15" hidden="false" customHeight="false" outlineLevel="0" collapsed="false">
      <c r="B37" s="3"/>
    </row>
    <row r="38" customFormat="false" ht="15" hidden="false" customHeight="false" outlineLevel="0" collapsed="false">
      <c r="B38" s="4" t="s">
        <v>29</v>
      </c>
    </row>
    <row r="39" customFormat="false" ht="60" hidden="false" customHeight="true" outlineLevel="0" collapsed="false">
      <c r="B39" s="3" t="s">
        <v>30</v>
      </c>
    </row>
    <row r="40" customFormat="false" ht="45" hidden="false" customHeight="true" outlineLevel="0" collapsed="false">
      <c r="B40" s="3" t="s">
        <v>31</v>
      </c>
    </row>
    <row r="41" customFormat="false" ht="30" hidden="false" customHeight="true" outlineLevel="0" collapsed="false">
      <c r="B41" s="3" t="s">
        <v>32</v>
      </c>
    </row>
    <row r="42" customFormat="false" ht="15" hidden="false" customHeight="false" outlineLevel="0" collapsed="false">
      <c r="B42" s="3"/>
    </row>
    <row r="43" customFormat="false" ht="15" hidden="false" customHeight="false" outlineLevel="0" collapsed="false">
      <c r="B43" s="4" t="s">
        <v>33</v>
      </c>
    </row>
    <row r="44" customFormat="false" ht="45" hidden="false" customHeight="true" outlineLevel="0" collapsed="false">
      <c r="B44" s="3"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11"/>
    <col collapsed="false" customWidth="true" hidden="false" outlineLevel="0" max="5" min="4" style="0" width="12"/>
    <col collapsed="false" customWidth="true" hidden="false" outlineLevel="0" max="6" min="6" style="0" width="13"/>
    <col collapsed="false" customWidth="true" hidden="false" outlineLevel="0" max="7" min="7" style="0" width="14"/>
    <col collapsed="false" customWidth="true" hidden="false" outlineLevel="0" max="8" min="8" style="0" width="22"/>
    <col collapsed="false" customWidth="true" hidden="false" outlineLevel="0" max="9" min="9" style="0" width="14"/>
    <col collapsed="false" customWidth="true" hidden="false" outlineLevel="0" max="10" min="10" style="0" width="34"/>
  </cols>
  <sheetData>
    <row r="1" customFormat="false" ht="21.75" hidden="false" customHeight="true" outlineLevel="0" collapsed="false">
      <c r="A1" s="5" t="s">
        <v>35</v>
      </c>
    </row>
    <row r="2" customFormat="false" ht="15" hidden="false" customHeight="false" outlineLevel="0" collapsed="false">
      <c r="A2" s="6" t="s">
        <v>36</v>
      </c>
    </row>
    <row r="3" customFormat="false" ht="30" hidden="false" customHeight="true" outlineLevel="0" collapsed="false">
      <c r="A3" s="7" t="s">
        <v>37</v>
      </c>
      <c r="B3" s="7" t="s">
        <v>38</v>
      </c>
      <c r="C3" s="7" t="s">
        <v>39</v>
      </c>
      <c r="D3" s="7" t="s">
        <v>40</v>
      </c>
      <c r="E3" s="7" t="s">
        <v>41</v>
      </c>
      <c r="F3" s="7" t="s">
        <v>42</v>
      </c>
      <c r="G3" s="7" t="s">
        <v>43</v>
      </c>
      <c r="H3" s="7" t="s">
        <v>44</v>
      </c>
      <c r="I3" s="7" t="s">
        <v>45</v>
      </c>
      <c r="J3" s="7" t="s">
        <v>46</v>
      </c>
    </row>
    <row r="4" customFormat="false" ht="15" hidden="false" customHeight="false" outlineLevel="0" collapsed="false">
      <c r="A4" s="8" t="s">
        <v>47</v>
      </c>
      <c r="B4" s="9" t="s">
        <v>48</v>
      </c>
      <c r="C4" s="10" t="s">
        <v>49</v>
      </c>
      <c r="D4" s="11" t="n">
        <v>1</v>
      </c>
      <c r="E4" s="11" t="n">
        <v>1</v>
      </c>
      <c r="F4" s="12" t="n">
        <f aca="false">IFERROR(E4/D4,1)</f>
        <v>1</v>
      </c>
      <c r="G4" s="13" t="n">
        <f aca="false">Produtos!$M$17</f>
        <v>27.661973587891</v>
      </c>
      <c r="H4" s="8" t="s">
        <v>50</v>
      </c>
      <c r="I4" s="8"/>
      <c r="J4" s="14" t="s">
        <v>51</v>
      </c>
    </row>
    <row r="5" customFormat="false" ht="15" hidden="false" customHeight="false" outlineLevel="0" collapsed="false">
      <c r="A5" s="8" t="s">
        <v>52</v>
      </c>
      <c r="B5" s="9" t="s">
        <v>53</v>
      </c>
      <c r="C5" s="10" t="s">
        <v>49</v>
      </c>
      <c r="D5" s="11" t="n">
        <v>0.5</v>
      </c>
      <c r="E5" s="11" t="n">
        <v>0.5</v>
      </c>
      <c r="F5" s="12" t="n">
        <f aca="false">IFERROR(E5/D5,1)</f>
        <v>1</v>
      </c>
      <c r="G5" s="13" t="n">
        <f aca="false">Produtos!$M$40</f>
        <v>14.6668244897959</v>
      </c>
      <c r="H5" s="8" t="s">
        <v>50</v>
      </c>
      <c r="I5" s="8"/>
      <c r="J5" s="14" t="s">
        <v>51</v>
      </c>
    </row>
    <row r="6" customFormat="false" ht="15" hidden="false" customHeight="false" outlineLevel="0" collapsed="false">
      <c r="A6" s="8" t="s">
        <v>54</v>
      </c>
      <c r="B6" s="9" t="s">
        <v>55</v>
      </c>
      <c r="C6" s="10" t="s">
        <v>49</v>
      </c>
      <c r="D6" s="11" t="n">
        <v>1</v>
      </c>
      <c r="E6" s="11" t="n">
        <v>0.5</v>
      </c>
      <c r="F6" s="12" t="n">
        <f aca="false">IFERROR(E6/D6,1)</f>
        <v>0.5</v>
      </c>
      <c r="G6" s="13" t="n">
        <f aca="false">Produtos!$M$28</f>
        <v>22.9029433703306</v>
      </c>
      <c r="H6" s="8" t="s">
        <v>50</v>
      </c>
      <c r="I6" s="8"/>
      <c r="J6" s="14" t="s">
        <v>51</v>
      </c>
    </row>
    <row r="7" customFormat="false" ht="15" hidden="false" customHeight="false" outlineLevel="0" collapsed="false">
      <c r="A7" s="8" t="s">
        <v>56</v>
      </c>
      <c r="B7" s="9" t="s">
        <v>57</v>
      </c>
      <c r="C7" s="10" t="s">
        <v>49</v>
      </c>
      <c r="D7" s="11" t="n">
        <v>1</v>
      </c>
      <c r="E7" s="11" t="n">
        <v>1</v>
      </c>
      <c r="F7" s="12" t="n">
        <f aca="false">IFERROR(E7/D7,1)</f>
        <v>1</v>
      </c>
      <c r="G7" s="13" t="n">
        <f aca="false">Produtos!$M$29</f>
        <v>34.8859116222301</v>
      </c>
      <c r="H7" s="8" t="s">
        <v>50</v>
      </c>
      <c r="I7" s="8"/>
      <c r="J7" s="14" t="s">
        <v>51</v>
      </c>
    </row>
    <row r="8" customFormat="false" ht="15" hidden="false" customHeight="false" outlineLevel="0" collapsed="false">
      <c r="A8" s="8" t="s">
        <v>58</v>
      </c>
      <c r="B8" s="9" t="s">
        <v>59</v>
      </c>
      <c r="C8" s="10" t="s">
        <v>60</v>
      </c>
      <c r="D8" s="11" t="n">
        <v>1</v>
      </c>
      <c r="E8" s="11" t="n">
        <v>0.98</v>
      </c>
      <c r="F8" s="12" t="n">
        <f aca="false">IFERROR(E8/D8,1)</f>
        <v>0.98</v>
      </c>
      <c r="G8" s="13" t="n">
        <f aca="false">Produtos!$M$33</f>
        <v>3.06122448979592</v>
      </c>
      <c r="H8" s="8" t="s">
        <v>50</v>
      </c>
      <c r="I8" s="8"/>
      <c r="J8" s="14" t="s">
        <v>51</v>
      </c>
    </row>
    <row r="9" customFormat="false" ht="15" hidden="false" customHeight="false" outlineLevel="0" collapsed="false">
      <c r="A9" s="8" t="s">
        <v>61</v>
      </c>
      <c r="B9" s="9" t="s">
        <v>62</v>
      </c>
      <c r="C9" s="10" t="s">
        <v>60</v>
      </c>
      <c r="D9" s="11" t="n">
        <v>1</v>
      </c>
      <c r="E9" s="11" t="n">
        <v>0.98</v>
      </c>
      <c r="F9" s="12" t="n">
        <f aca="false">IFERROR(E9/D9,1)</f>
        <v>0.98</v>
      </c>
      <c r="G9" s="13" t="n">
        <f aca="false">Produtos!$M$34</f>
        <v>1.53061224489796</v>
      </c>
      <c r="H9" s="8" t="s">
        <v>50</v>
      </c>
      <c r="I9" s="8"/>
      <c r="J9" s="14" t="s">
        <v>51</v>
      </c>
    </row>
    <row r="10" customFormat="false" ht="15" hidden="false" customHeight="false" outlineLevel="0" collapsed="false">
      <c r="A10" s="8" t="s">
        <v>63</v>
      </c>
      <c r="B10" s="9" t="s">
        <v>64</v>
      </c>
      <c r="C10" s="10" t="s">
        <v>49</v>
      </c>
      <c r="D10" s="11" t="n">
        <v>1</v>
      </c>
      <c r="E10" s="11" t="n">
        <v>1.134</v>
      </c>
      <c r="F10" s="12" t="n">
        <f aca="false">IFERROR(E10/D10,1)</f>
        <v>1.134</v>
      </c>
      <c r="G10" s="13" t="n">
        <f aca="false">Produtos!$M$35</f>
        <v>6.05987778836343</v>
      </c>
      <c r="H10" s="8" t="s">
        <v>50</v>
      </c>
      <c r="I10" s="8"/>
      <c r="J10" s="14" t="s">
        <v>51</v>
      </c>
    </row>
    <row r="11" customFormat="false" ht="15" hidden="false" customHeight="false" outlineLevel="0" collapsed="false">
      <c r="A11" s="8" t="s">
        <v>65</v>
      </c>
      <c r="B11" s="9" t="s">
        <v>66</v>
      </c>
      <c r="C11" s="10" t="s">
        <v>49</v>
      </c>
      <c r="D11" s="11" t="n">
        <v>0.8</v>
      </c>
      <c r="E11" s="11" t="n">
        <v>0.8</v>
      </c>
      <c r="F11" s="12" t="n">
        <f aca="false">IFERROR(E11/D11,1)</f>
        <v>1</v>
      </c>
      <c r="G11" s="13" t="n">
        <f aca="false">Produtos!$M$37</f>
        <v>25.2831364124597</v>
      </c>
      <c r="H11" s="8" t="s">
        <v>50</v>
      </c>
      <c r="I11" s="8"/>
      <c r="J11" s="14" t="s">
        <v>51</v>
      </c>
    </row>
    <row r="12" customFormat="false" ht="15" hidden="false" customHeight="false" outlineLevel="0" collapsed="false">
      <c r="A12" s="8" t="s">
        <v>67</v>
      </c>
      <c r="B12" s="9" t="s">
        <v>68</v>
      </c>
      <c r="C12" s="10" t="s">
        <v>49</v>
      </c>
      <c r="D12" s="11" t="n">
        <v>1</v>
      </c>
      <c r="E12" s="11" t="n">
        <v>1</v>
      </c>
      <c r="F12" s="12" t="n">
        <f aca="false">IFERROR(E12/D12,1)</f>
        <v>1</v>
      </c>
      <c r="G12" s="13" t="n">
        <f aca="false">Produtos!$M$39</f>
        <v>14.050144575725</v>
      </c>
      <c r="H12" s="8" t="s">
        <v>50</v>
      </c>
      <c r="I12" s="8"/>
      <c r="J12" s="14" t="s">
        <v>51</v>
      </c>
    </row>
    <row r="13" customFormat="false" ht="15" hidden="false" customHeight="false" outlineLevel="0" collapsed="false">
      <c r="A13" s="8" t="s">
        <v>69</v>
      </c>
      <c r="B13" s="9" t="s">
        <v>70</v>
      </c>
      <c r="C13" s="10" t="s">
        <v>49</v>
      </c>
      <c r="D13" s="11" t="n">
        <v>1</v>
      </c>
      <c r="E13" s="11" t="n">
        <v>1</v>
      </c>
      <c r="F13" s="12" t="n">
        <f aca="false">IFERROR(E13/D13,1)</f>
        <v>1</v>
      </c>
      <c r="G13" s="13" t="n">
        <f aca="false">Produtos!$M$43</f>
        <v>13.9879411789558</v>
      </c>
      <c r="H13" s="8" t="s">
        <v>50</v>
      </c>
      <c r="I13" s="8"/>
      <c r="J13" s="14" t="s">
        <v>51</v>
      </c>
    </row>
    <row r="14" customFormat="false" ht="15" hidden="false" customHeight="false" outlineLevel="0" collapsed="false">
      <c r="A14" s="8" t="s">
        <v>71</v>
      </c>
      <c r="B14" s="9" t="s">
        <v>72</v>
      </c>
      <c r="C14" s="10" t="s">
        <v>49</v>
      </c>
      <c r="D14" s="11" t="n">
        <v>1</v>
      </c>
      <c r="E14" s="11" t="n">
        <v>1</v>
      </c>
      <c r="F14" s="12" t="n">
        <f aca="false">IFERROR(E14/D14,1)</f>
        <v>1</v>
      </c>
      <c r="G14" s="13" t="n">
        <f aca="false">Produtos!$M$45</f>
        <v>45.9219387755102</v>
      </c>
      <c r="H14" s="8" t="s">
        <v>50</v>
      </c>
      <c r="I14" s="8"/>
      <c r="J14" s="14" t="s">
        <v>51</v>
      </c>
    </row>
    <row r="15" customFormat="false" ht="15" hidden="false" customHeight="false" outlineLevel="0" collapsed="false">
      <c r="A15" s="8" t="s">
        <v>73</v>
      </c>
      <c r="B15" s="9" t="s">
        <v>74</v>
      </c>
      <c r="C15" s="10" t="s">
        <v>49</v>
      </c>
      <c r="D15" s="11" t="n">
        <v>1</v>
      </c>
      <c r="E15" s="11" t="n">
        <v>0.98</v>
      </c>
      <c r="F15" s="12" t="n">
        <f aca="false">IFERROR(E15/D15,1)</f>
        <v>0.98</v>
      </c>
      <c r="G15" s="13" t="n">
        <f aca="false">Produtos!$M$47</f>
        <v>10.2195983630848</v>
      </c>
      <c r="H15" s="8" t="s">
        <v>50</v>
      </c>
      <c r="I15" s="8"/>
      <c r="J15" s="14" t="s">
        <v>51</v>
      </c>
    </row>
    <row r="16" customFormat="false" ht="15" hidden="false" customHeight="false" outlineLevel="0" collapsed="false">
      <c r="A16" s="8" t="s">
        <v>75</v>
      </c>
      <c r="B16" s="9" t="s">
        <v>76</v>
      </c>
      <c r="C16" s="10" t="s">
        <v>49</v>
      </c>
      <c r="D16" s="11" t="n">
        <v>1</v>
      </c>
      <c r="E16" s="11" t="n">
        <v>1</v>
      </c>
      <c r="F16" s="12" t="n">
        <f aca="false">IFERROR(E16/D16,1)</f>
        <v>1</v>
      </c>
      <c r="G16" s="13" t="n">
        <f aca="false">Produtos!$M$54</f>
        <v>12.142727971034</v>
      </c>
      <c r="H16" s="8" t="s">
        <v>50</v>
      </c>
      <c r="I16" s="8"/>
      <c r="J16" s="14" t="s">
        <v>51</v>
      </c>
    </row>
    <row r="17" customFormat="false" ht="15" hidden="false" customHeight="false" outlineLevel="0" collapsed="false">
      <c r="A17" s="8" t="s">
        <v>77</v>
      </c>
      <c r="B17" s="9" t="s">
        <v>78</v>
      </c>
      <c r="C17" s="10" t="s">
        <v>49</v>
      </c>
      <c r="D17" s="11" t="n">
        <v>1</v>
      </c>
      <c r="E17" s="11" t="n">
        <v>0.98</v>
      </c>
      <c r="F17" s="12" t="n">
        <f aca="false">IFERROR(E17/D17,1)</f>
        <v>0.98</v>
      </c>
      <c r="G17" s="13" t="n">
        <f aca="false">Produtos!$M$56</f>
        <v>9.34019269396122</v>
      </c>
      <c r="H17" s="8" t="s">
        <v>50</v>
      </c>
      <c r="I17" s="8"/>
      <c r="J17" s="14" t="s">
        <v>51</v>
      </c>
    </row>
    <row r="18" customFormat="false" ht="15" hidden="false" customHeight="false" outlineLevel="0" collapsed="false">
      <c r="A18" s="8" t="s">
        <v>79</v>
      </c>
      <c r="B18" s="9" t="s">
        <v>80</v>
      </c>
      <c r="C18" s="10" t="s">
        <v>49</v>
      </c>
      <c r="D18" s="11" t="n">
        <v>1</v>
      </c>
      <c r="E18" s="11" t="n">
        <v>1</v>
      </c>
      <c r="F18" s="12" t="n">
        <f aca="false">IFERROR(E18/D18,1)</f>
        <v>1</v>
      </c>
      <c r="G18" s="13" t="n">
        <f aca="false">Produtos!$M$64</f>
        <v>11.8525200805649</v>
      </c>
      <c r="H18" s="8" t="s">
        <v>50</v>
      </c>
      <c r="I18" s="8"/>
      <c r="J18" s="14" t="s">
        <v>51</v>
      </c>
    </row>
    <row r="19" customFormat="false" ht="15" hidden="false" customHeight="false" outlineLevel="0" collapsed="false">
      <c r="A19" s="8" t="s">
        <v>81</v>
      </c>
      <c r="B19" s="9" t="s">
        <v>82</v>
      </c>
      <c r="C19" s="10" t="s">
        <v>49</v>
      </c>
      <c r="D19" s="11" t="n">
        <v>1</v>
      </c>
      <c r="E19" s="11" t="n">
        <v>1.18</v>
      </c>
      <c r="F19" s="12" t="n">
        <f aca="false">IFERROR(E19/D19,1)</f>
        <v>1.18</v>
      </c>
      <c r="G19" s="13" t="n">
        <f aca="false">Produtos!$M$70</f>
        <v>16.7694786183453</v>
      </c>
      <c r="H19" s="8" t="s">
        <v>50</v>
      </c>
      <c r="I19" s="8"/>
      <c r="J19" s="14" t="s">
        <v>51</v>
      </c>
    </row>
    <row r="20" customFormat="false" ht="15" hidden="false" customHeight="false" outlineLevel="0" collapsed="false">
      <c r="A20" s="15" t="s">
        <v>83</v>
      </c>
      <c r="B20" s="16" t="s">
        <v>84</v>
      </c>
      <c r="C20" s="17" t="s">
        <v>49</v>
      </c>
      <c r="D20" s="18" t="n">
        <v>1</v>
      </c>
      <c r="E20" s="18" t="n">
        <v>0.63</v>
      </c>
      <c r="F20" s="19" t="n">
        <f aca="false">IFERROR(E20/D20,1)</f>
        <v>0.63</v>
      </c>
      <c r="G20" s="20" t="n">
        <v>4</v>
      </c>
      <c r="H20" s="16" t="s">
        <v>85</v>
      </c>
      <c r="I20" s="16"/>
      <c r="J20" s="15"/>
    </row>
    <row r="21" customFormat="false" ht="15" hidden="false" customHeight="false" outlineLevel="0" collapsed="false">
      <c r="A21" s="15" t="s">
        <v>86</v>
      </c>
      <c r="B21" s="16" t="s">
        <v>87</v>
      </c>
      <c r="C21" s="17" t="s">
        <v>49</v>
      </c>
      <c r="D21" s="18" t="n">
        <v>1</v>
      </c>
      <c r="E21" s="18" t="n">
        <v>0.97</v>
      </c>
      <c r="F21" s="19" t="n">
        <f aca="false">IFERROR(E21/D21,1)</f>
        <v>0.97</v>
      </c>
      <c r="G21" s="20" t="n">
        <v>6</v>
      </c>
      <c r="H21" s="16"/>
      <c r="I21" s="16"/>
      <c r="J21" s="15"/>
    </row>
    <row r="22" customFormat="false" ht="15" hidden="false" customHeight="false" outlineLevel="0" collapsed="false">
      <c r="A22" s="15" t="s">
        <v>88</v>
      </c>
      <c r="B22" s="16" t="s">
        <v>89</v>
      </c>
      <c r="C22" s="17" t="s">
        <v>49</v>
      </c>
      <c r="D22" s="18" t="n">
        <v>1</v>
      </c>
      <c r="E22" s="18" t="n">
        <v>0.95</v>
      </c>
      <c r="F22" s="19" t="n">
        <f aca="false">IFERROR(E22/D22,1)</f>
        <v>0.95</v>
      </c>
      <c r="G22" s="20" t="n">
        <v>2.49</v>
      </c>
      <c r="H22" s="16"/>
      <c r="I22" s="16"/>
      <c r="J22" s="15"/>
    </row>
    <row r="23" customFormat="false" ht="15" hidden="false" customHeight="false" outlineLevel="0" collapsed="false">
      <c r="A23" s="15" t="s">
        <v>90</v>
      </c>
      <c r="B23" s="16" t="s">
        <v>91</v>
      </c>
      <c r="C23" s="17" t="s">
        <v>49</v>
      </c>
      <c r="D23" s="18" t="n">
        <v>1</v>
      </c>
      <c r="E23" s="18" t="n">
        <v>0.95</v>
      </c>
      <c r="F23" s="19" t="n">
        <f aca="false">IFERROR(E23/D23,1)</f>
        <v>0.95</v>
      </c>
      <c r="G23" s="20" t="n">
        <v>10</v>
      </c>
      <c r="H23" s="16"/>
      <c r="I23" s="16"/>
      <c r="J23" s="15"/>
    </row>
    <row r="24" customFormat="false" ht="15" hidden="false" customHeight="false" outlineLevel="0" collapsed="false">
      <c r="A24" s="15" t="s">
        <v>92</v>
      </c>
      <c r="B24" s="16" t="s">
        <v>93</v>
      </c>
      <c r="C24" s="17" t="s">
        <v>49</v>
      </c>
      <c r="D24" s="18" t="n">
        <v>1</v>
      </c>
      <c r="E24" s="18" t="n">
        <v>0.79</v>
      </c>
      <c r="F24" s="19" t="n">
        <f aca="false">IFERROR(E24/D24,1)</f>
        <v>0.79</v>
      </c>
      <c r="G24" s="20" t="n">
        <v>5</v>
      </c>
      <c r="H24" s="16"/>
      <c r="I24" s="16"/>
      <c r="J24" s="15"/>
    </row>
    <row r="25" customFormat="false" ht="15" hidden="false" customHeight="false" outlineLevel="0" collapsed="false">
      <c r="A25" s="15" t="s">
        <v>94</v>
      </c>
      <c r="B25" s="16" t="s">
        <v>95</v>
      </c>
      <c r="C25" s="17" t="s">
        <v>49</v>
      </c>
      <c r="D25" s="18" t="n">
        <v>1</v>
      </c>
      <c r="E25" s="18" t="n">
        <v>0.88</v>
      </c>
      <c r="F25" s="19" t="n">
        <f aca="false">IFERROR(E25/D25,1)</f>
        <v>0.88</v>
      </c>
      <c r="G25" s="20" t="n">
        <v>24.99</v>
      </c>
      <c r="H25" s="16"/>
      <c r="I25" s="16"/>
      <c r="J25" s="15"/>
    </row>
    <row r="26" customFormat="false" ht="15" hidden="false" customHeight="false" outlineLevel="0" collapsed="false">
      <c r="A26" s="15" t="s">
        <v>96</v>
      </c>
      <c r="B26" s="16" t="s">
        <v>97</v>
      </c>
      <c r="C26" s="17" t="s">
        <v>49</v>
      </c>
      <c r="D26" s="18" t="n">
        <v>1</v>
      </c>
      <c r="E26" s="18" t="n">
        <v>0.88</v>
      </c>
      <c r="F26" s="19" t="n">
        <f aca="false">IFERROR(E26/D26,1)</f>
        <v>0.88</v>
      </c>
      <c r="G26" s="20" t="n">
        <v>20</v>
      </c>
      <c r="H26" s="16"/>
      <c r="I26" s="16"/>
      <c r="J26" s="15"/>
    </row>
    <row r="27" customFormat="false" ht="15" hidden="false" customHeight="false" outlineLevel="0" collapsed="false">
      <c r="A27" s="15" t="s">
        <v>98</v>
      </c>
      <c r="B27" s="16" t="s">
        <v>99</v>
      </c>
      <c r="C27" s="17" t="s">
        <v>49</v>
      </c>
      <c r="D27" s="18" t="n">
        <v>1</v>
      </c>
      <c r="E27" s="18" t="n">
        <v>0.9</v>
      </c>
      <c r="F27" s="19" t="n">
        <f aca="false">IFERROR(E27/D27,1)</f>
        <v>0.9</v>
      </c>
      <c r="G27" s="20" t="n">
        <v>50</v>
      </c>
      <c r="H27" s="16" t="s">
        <v>100</v>
      </c>
      <c r="I27" s="16"/>
      <c r="J27" s="15"/>
    </row>
    <row r="28" customFormat="false" ht="15" hidden="false" customHeight="false" outlineLevel="0" collapsed="false">
      <c r="A28" s="15" t="s">
        <v>101</v>
      </c>
      <c r="B28" s="16" t="s">
        <v>102</v>
      </c>
      <c r="C28" s="17" t="s">
        <v>49</v>
      </c>
      <c r="D28" s="18" t="n">
        <v>1</v>
      </c>
      <c r="E28" s="18" t="n">
        <v>0.98</v>
      </c>
      <c r="F28" s="19" t="n">
        <f aca="false">IFERROR(E28/D28,1)</f>
        <v>0.98</v>
      </c>
      <c r="G28" s="20" t="n">
        <v>23</v>
      </c>
      <c r="H28" s="16" t="s">
        <v>103</v>
      </c>
      <c r="I28" s="16"/>
      <c r="J28" s="15"/>
    </row>
    <row r="29" customFormat="false" ht="15" hidden="false" customHeight="false" outlineLevel="0" collapsed="false">
      <c r="A29" s="15" t="s">
        <v>104</v>
      </c>
      <c r="B29" s="16" t="s">
        <v>105</v>
      </c>
      <c r="C29" s="17" t="s">
        <v>49</v>
      </c>
      <c r="D29" s="18" t="n">
        <v>1</v>
      </c>
      <c r="E29" s="18" t="n">
        <v>0.9</v>
      </c>
      <c r="F29" s="19" t="n">
        <f aca="false">IFERROR(E29/D29,1)</f>
        <v>0.9</v>
      </c>
      <c r="G29" s="20" t="n">
        <v>62</v>
      </c>
      <c r="H29" s="16" t="s">
        <v>103</v>
      </c>
      <c r="I29" s="16"/>
      <c r="J29" s="15"/>
    </row>
    <row r="30" customFormat="false" ht="15" hidden="false" customHeight="false" outlineLevel="0" collapsed="false">
      <c r="A30" s="15" t="s">
        <v>106</v>
      </c>
      <c r="B30" s="16" t="s">
        <v>107</v>
      </c>
      <c r="C30" s="17" t="s">
        <v>49</v>
      </c>
      <c r="D30" s="18" t="n">
        <v>1</v>
      </c>
      <c r="E30" s="18" t="n">
        <v>0.98</v>
      </c>
      <c r="F30" s="19" t="n">
        <f aca="false">IFERROR(E30/D30,1)</f>
        <v>0.98</v>
      </c>
      <c r="G30" s="20" t="n">
        <v>5.3</v>
      </c>
      <c r="H30" s="16" t="s">
        <v>108</v>
      </c>
      <c r="I30" s="16"/>
      <c r="J30" s="15"/>
    </row>
    <row r="31" customFormat="false" ht="15" hidden="false" customHeight="false" outlineLevel="0" collapsed="false">
      <c r="A31" s="15" t="s">
        <v>109</v>
      </c>
      <c r="B31" s="16" t="s">
        <v>110</v>
      </c>
      <c r="C31" s="17" t="s">
        <v>49</v>
      </c>
      <c r="D31" s="18" t="n">
        <v>0.5</v>
      </c>
      <c r="E31" s="18" t="n">
        <v>0.49</v>
      </c>
      <c r="F31" s="19" t="n">
        <f aca="false">IFERROR(E31/D31,1)</f>
        <v>0.98</v>
      </c>
      <c r="G31" s="20" t="n">
        <v>4</v>
      </c>
      <c r="H31" s="16"/>
      <c r="I31" s="16"/>
      <c r="J31" s="15"/>
    </row>
    <row r="32" customFormat="false" ht="15" hidden="false" customHeight="false" outlineLevel="0" collapsed="false">
      <c r="A32" s="15" t="s">
        <v>111</v>
      </c>
      <c r="B32" s="16" t="s">
        <v>112</v>
      </c>
      <c r="C32" s="17" t="s">
        <v>49</v>
      </c>
      <c r="D32" s="18" t="n">
        <v>1</v>
      </c>
      <c r="E32" s="18" t="n">
        <v>0.98</v>
      </c>
      <c r="F32" s="19" t="n">
        <f aca="false">IFERROR(E32/D32,1)</f>
        <v>0.98</v>
      </c>
      <c r="G32" s="20" t="n">
        <v>16.9</v>
      </c>
      <c r="H32" s="16"/>
      <c r="I32" s="16"/>
      <c r="J32" s="15"/>
    </row>
    <row r="33" customFormat="false" ht="15" hidden="false" customHeight="false" outlineLevel="0" collapsed="false">
      <c r="A33" s="15" t="s">
        <v>113</v>
      </c>
      <c r="B33" s="16" t="s">
        <v>114</v>
      </c>
      <c r="C33" s="17" t="s">
        <v>49</v>
      </c>
      <c r="D33" s="18" t="n">
        <v>1</v>
      </c>
      <c r="E33" s="18" t="n">
        <v>0.98</v>
      </c>
      <c r="F33" s="19" t="n">
        <f aca="false">IFERROR(E33/D33,1)</f>
        <v>0.98</v>
      </c>
      <c r="G33" s="20" t="n">
        <v>18.26</v>
      </c>
      <c r="H33" s="16"/>
      <c r="I33" s="16"/>
      <c r="J33" s="15"/>
    </row>
    <row r="34" customFormat="false" ht="15" hidden="false" customHeight="false" outlineLevel="0" collapsed="false">
      <c r="A34" s="15" t="s">
        <v>115</v>
      </c>
      <c r="B34" s="16" t="s">
        <v>116</v>
      </c>
      <c r="C34" s="17" t="s">
        <v>49</v>
      </c>
      <c r="D34" s="18" t="n">
        <v>1</v>
      </c>
      <c r="E34" s="18" t="n">
        <v>0.88</v>
      </c>
      <c r="F34" s="19" t="n">
        <f aca="false">IFERROR(E34/D34,1)</f>
        <v>0.88</v>
      </c>
      <c r="G34" s="20" t="n">
        <v>90</v>
      </c>
      <c r="H34" s="16" t="s">
        <v>117</v>
      </c>
      <c r="I34" s="16"/>
      <c r="J34" s="15"/>
    </row>
    <row r="35" customFormat="false" ht="15" hidden="false" customHeight="false" outlineLevel="0" collapsed="false">
      <c r="A35" s="15" t="s">
        <v>118</v>
      </c>
      <c r="B35" s="16" t="s">
        <v>119</v>
      </c>
      <c r="C35" s="17" t="s">
        <v>49</v>
      </c>
      <c r="D35" s="18" t="n">
        <v>1</v>
      </c>
      <c r="E35" s="18" t="n">
        <v>0.95</v>
      </c>
      <c r="F35" s="19" t="n">
        <f aca="false">IFERROR(E35/D35,1)</f>
        <v>0.95</v>
      </c>
      <c r="G35" s="20" t="n">
        <v>20</v>
      </c>
      <c r="H35" s="16" t="s">
        <v>120</v>
      </c>
      <c r="I35" s="16"/>
      <c r="J35" s="15"/>
    </row>
    <row r="36" customFormat="false" ht="15" hidden="false" customHeight="false" outlineLevel="0" collapsed="false">
      <c r="A36" s="15" t="s">
        <v>121</v>
      </c>
      <c r="B36" s="16" t="s">
        <v>122</v>
      </c>
      <c r="C36" s="17" t="s">
        <v>49</v>
      </c>
      <c r="D36" s="18" t="n">
        <v>1</v>
      </c>
      <c r="E36" s="18" t="n">
        <v>0.98</v>
      </c>
      <c r="F36" s="19" t="n">
        <f aca="false">IFERROR(E36/D36,1)</f>
        <v>0.98</v>
      </c>
      <c r="G36" s="20" t="n">
        <v>6</v>
      </c>
      <c r="H36" s="16" t="s">
        <v>108</v>
      </c>
      <c r="I36" s="16"/>
      <c r="J36" s="15"/>
    </row>
    <row r="37" customFormat="false" ht="15" hidden="false" customHeight="false" outlineLevel="0" collapsed="false">
      <c r="A37" s="15" t="s">
        <v>123</v>
      </c>
      <c r="B37" s="16" t="s">
        <v>124</v>
      </c>
      <c r="C37" s="17" t="s">
        <v>49</v>
      </c>
      <c r="D37" s="18" t="n">
        <v>1</v>
      </c>
      <c r="E37" s="18" t="n">
        <v>0.98</v>
      </c>
      <c r="F37" s="19" t="n">
        <f aca="false">IFERROR(E37/D37,1)</f>
        <v>0.98</v>
      </c>
      <c r="G37" s="20" t="n">
        <v>9</v>
      </c>
      <c r="H37" s="16" t="s">
        <v>125</v>
      </c>
      <c r="I37" s="16"/>
      <c r="J37" s="15"/>
    </row>
    <row r="38" customFormat="false" ht="15" hidden="false" customHeight="false" outlineLevel="0" collapsed="false">
      <c r="A38" s="15" t="s">
        <v>126</v>
      </c>
      <c r="B38" s="16" t="s">
        <v>127</v>
      </c>
      <c r="C38" s="17" t="s">
        <v>49</v>
      </c>
      <c r="D38" s="18" t="n">
        <v>1</v>
      </c>
      <c r="E38" s="18" t="n">
        <v>0.97</v>
      </c>
      <c r="F38" s="19" t="n">
        <f aca="false">IFERROR(E38/D38,1)</f>
        <v>0.97</v>
      </c>
      <c r="G38" s="20" t="n">
        <v>26.2</v>
      </c>
      <c r="H38" s="16" t="s">
        <v>103</v>
      </c>
      <c r="I38" s="16"/>
      <c r="J38" s="15"/>
    </row>
    <row r="39" customFormat="false" ht="15" hidden="false" customHeight="false" outlineLevel="0" collapsed="false">
      <c r="A39" s="15" t="s">
        <v>128</v>
      </c>
      <c r="B39" s="16" t="s">
        <v>129</v>
      </c>
      <c r="C39" s="17" t="s">
        <v>49</v>
      </c>
      <c r="D39" s="18" t="n">
        <v>1</v>
      </c>
      <c r="E39" s="18" t="n">
        <v>0.95</v>
      </c>
      <c r="F39" s="19" t="n">
        <f aca="false">IFERROR(E39/D39,1)</f>
        <v>0.95</v>
      </c>
      <c r="G39" s="20" t="n">
        <v>6</v>
      </c>
      <c r="H39" s="16"/>
      <c r="I39" s="16"/>
      <c r="J39" s="15"/>
    </row>
    <row r="40" customFormat="false" ht="15" hidden="false" customHeight="false" outlineLevel="0" collapsed="false">
      <c r="A40" s="15" t="s">
        <v>130</v>
      </c>
      <c r="B40" s="16" t="s">
        <v>131</v>
      </c>
      <c r="C40" s="17" t="s">
        <v>49</v>
      </c>
      <c r="D40" s="18" t="n">
        <v>1</v>
      </c>
      <c r="E40" s="18" t="n">
        <v>0.62</v>
      </c>
      <c r="F40" s="19" t="n">
        <f aca="false">IFERROR(E40/D40,1)</f>
        <v>0.62</v>
      </c>
      <c r="G40" s="20" t="n">
        <v>10</v>
      </c>
      <c r="H40" s="16" t="s">
        <v>132</v>
      </c>
      <c r="I40" s="16"/>
      <c r="J40" s="15"/>
    </row>
    <row r="41" customFormat="false" ht="15" hidden="false" customHeight="false" outlineLevel="0" collapsed="false">
      <c r="A41" s="15" t="s">
        <v>133</v>
      </c>
      <c r="B41" s="16" t="s">
        <v>134</v>
      </c>
      <c r="C41" s="17" t="s">
        <v>49</v>
      </c>
      <c r="D41" s="18" t="n">
        <v>1</v>
      </c>
      <c r="E41" s="18" t="n">
        <v>0.85</v>
      </c>
      <c r="F41" s="19" t="n">
        <f aca="false">IFERROR(E41/D41,1)</f>
        <v>0.85</v>
      </c>
      <c r="G41" s="20" t="n">
        <v>8</v>
      </c>
      <c r="H41" s="16"/>
      <c r="I41" s="16"/>
      <c r="J41" s="15"/>
    </row>
    <row r="42" customFormat="false" ht="15" hidden="false" customHeight="false" outlineLevel="0" collapsed="false">
      <c r="A42" s="15" t="s">
        <v>135</v>
      </c>
      <c r="B42" s="16" t="s">
        <v>136</v>
      </c>
      <c r="C42" s="17" t="s">
        <v>49</v>
      </c>
      <c r="D42" s="18" t="n">
        <v>2.039</v>
      </c>
      <c r="E42" s="18" t="n">
        <v>1.917</v>
      </c>
      <c r="F42" s="19" t="n">
        <f aca="false">IFERROR(E42/D42,1)</f>
        <v>0.940166748406081</v>
      </c>
      <c r="G42" s="20" t="n">
        <v>12</v>
      </c>
      <c r="H42" s="16"/>
      <c r="I42" s="16"/>
      <c r="J42" s="15"/>
    </row>
    <row r="43" customFormat="false" ht="15" hidden="false" customHeight="false" outlineLevel="0" collapsed="false">
      <c r="A43" s="15" t="s">
        <v>137</v>
      </c>
      <c r="B43" s="16" t="s">
        <v>138</v>
      </c>
      <c r="C43" s="17" t="s">
        <v>49</v>
      </c>
      <c r="D43" s="18" t="n">
        <v>2.367</v>
      </c>
      <c r="E43" s="18" t="n">
        <v>2.039</v>
      </c>
      <c r="F43" s="19" t="n">
        <f aca="false">IFERROR(E43/D43,1)</f>
        <v>0.861427967891846</v>
      </c>
      <c r="G43" s="20" t="n">
        <v>5.69</v>
      </c>
      <c r="H43" s="16"/>
      <c r="I43" s="16"/>
      <c r="J43" s="15"/>
    </row>
    <row r="44" customFormat="false" ht="15" hidden="false" customHeight="false" outlineLevel="0" collapsed="false">
      <c r="A44" s="15" t="s">
        <v>139</v>
      </c>
      <c r="B44" s="16" t="s">
        <v>140</v>
      </c>
      <c r="C44" s="17" t="s">
        <v>49</v>
      </c>
      <c r="D44" s="18" t="n">
        <v>1</v>
      </c>
      <c r="E44" s="18" t="n">
        <v>0.8</v>
      </c>
      <c r="F44" s="19" t="n">
        <f aca="false">IFERROR(E44/D44,1)</f>
        <v>0.8</v>
      </c>
      <c r="G44" s="20" t="n">
        <v>6</v>
      </c>
      <c r="H44" s="16"/>
      <c r="I44" s="16"/>
      <c r="J44" s="15"/>
    </row>
    <row r="45" customFormat="false" ht="15" hidden="false" customHeight="false" outlineLevel="0" collapsed="false">
      <c r="A45" s="15" t="s">
        <v>141</v>
      </c>
      <c r="B45" s="16" t="s">
        <v>142</v>
      </c>
      <c r="C45" s="17" t="s">
        <v>49</v>
      </c>
      <c r="D45" s="18" t="n">
        <v>0.2</v>
      </c>
      <c r="E45" s="18" t="n">
        <v>0.198</v>
      </c>
      <c r="F45" s="19" t="n">
        <f aca="false">IFERROR(E45/D45,1)</f>
        <v>0.99</v>
      </c>
      <c r="G45" s="20" t="n">
        <v>42</v>
      </c>
      <c r="H45" s="16"/>
      <c r="I45" s="16"/>
      <c r="J45" s="15"/>
    </row>
    <row r="46" customFormat="false" ht="15" hidden="false" customHeight="false" outlineLevel="0" collapsed="false">
      <c r="A46" s="15" t="s">
        <v>143</v>
      </c>
      <c r="B46" s="16" t="s">
        <v>144</v>
      </c>
      <c r="C46" s="17" t="s">
        <v>49</v>
      </c>
      <c r="D46" s="18" t="n">
        <v>1</v>
      </c>
      <c r="E46" s="18" t="n">
        <v>0.9</v>
      </c>
      <c r="F46" s="19" t="n">
        <f aca="false">IFERROR(E46/D46,1)</f>
        <v>0.9</v>
      </c>
      <c r="G46" s="20" t="n">
        <v>5</v>
      </c>
      <c r="H46" s="16"/>
      <c r="I46" s="16"/>
      <c r="J46" s="15"/>
    </row>
    <row r="47" customFormat="false" ht="15" hidden="false" customHeight="false" outlineLevel="0" collapsed="false">
      <c r="A47" s="15" t="s">
        <v>145</v>
      </c>
      <c r="B47" s="16" t="s">
        <v>146</v>
      </c>
      <c r="C47" s="17" t="s">
        <v>49</v>
      </c>
      <c r="D47" s="18" t="n">
        <v>1</v>
      </c>
      <c r="E47" s="18" t="n">
        <v>0.95</v>
      </c>
      <c r="F47" s="19" t="n">
        <f aca="false">IFERROR(E47/D47,1)</f>
        <v>0.95</v>
      </c>
      <c r="G47" s="20" t="n">
        <v>63.52</v>
      </c>
      <c r="H47" s="16"/>
      <c r="I47" s="16"/>
      <c r="J47" s="15"/>
    </row>
    <row r="48" customFormat="false" ht="15" hidden="false" customHeight="false" outlineLevel="0" collapsed="false">
      <c r="A48" s="15" t="s">
        <v>147</v>
      </c>
      <c r="B48" s="16" t="s">
        <v>148</v>
      </c>
      <c r="C48" s="17" t="s">
        <v>49</v>
      </c>
      <c r="D48" s="18" t="n">
        <v>1</v>
      </c>
      <c r="E48" s="18" t="n">
        <v>0.98</v>
      </c>
      <c r="F48" s="19" t="n">
        <f aca="false">IFERROR(E48/D48,1)</f>
        <v>0.98</v>
      </c>
      <c r="G48" s="20" t="n">
        <v>5.44</v>
      </c>
      <c r="H48" s="16" t="s">
        <v>149</v>
      </c>
      <c r="I48" s="16"/>
      <c r="J48" s="15"/>
    </row>
    <row r="49" customFormat="false" ht="15" hidden="false" customHeight="false" outlineLevel="0" collapsed="false">
      <c r="A49" s="15" t="s">
        <v>150</v>
      </c>
      <c r="B49" s="16" t="s">
        <v>151</v>
      </c>
      <c r="C49" s="17" t="s">
        <v>49</v>
      </c>
      <c r="D49" s="18" t="n">
        <v>1</v>
      </c>
      <c r="E49" s="18" t="n">
        <v>0.95</v>
      </c>
      <c r="F49" s="19" t="n">
        <f aca="false">IFERROR(E49/D49,1)</f>
        <v>0.95</v>
      </c>
      <c r="G49" s="20" t="n">
        <v>30</v>
      </c>
      <c r="H49" s="16" t="s">
        <v>152</v>
      </c>
      <c r="I49" s="16"/>
      <c r="J49" s="15"/>
    </row>
    <row r="50" customFormat="false" ht="15" hidden="false" customHeight="false" outlineLevel="0" collapsed="false">
      <c r="A50" s="15" t="s">
        <v>153</v>
      </c>
      <c r="B50" s="16" t="s">
        <v>154</v>
      </c>
      <c r="C50" s="17" t="s">
        <v>49</v>
      </c>
      <c r="D50" s="18" t="n">
        <v>1</v>
      </c>
      <c r="E50" s="18" t="n">
        <v>0.98</v>
      </c>
      <c r="F50" s="19" t="n">
        <f aca="false">IFERROR(E50/D50,1)</f>
        <v>0.98</v>
      </c>
      <c r="G50" s="20" t="n">
        <v>67.5</v>
      </c>
      <c r="H50" s="16" t="s">
        <v>155</v>
      </c>
      <c r="I50" s="16"/>
      <c r="J50" s="15"/>
    </row>
    <row r="51" customFormat="false" ht="15" hidden="false" customHeight="false" outlineLevel="0" collapsed="false">
      <c r="A51" s="15" t="s">
        <v>156</v>
      </c>
      <c r="B51" s="16" t="s">
        <v>157</v>
      </c>
      <c r="C51" s="17" t="s">
        <v>49</v>
      </c>
      <c r="D51" s="18" t="n">
        <v>1</v>
      </c>
      <c r="E51" s="18" t="n">
        <v>0.9</v>
      </c>
      <c r="F51" s="19" t="n">
        <f aca="false">IFERROR(E51/D51,1)</f>
        <v>0.9</v>
      </c>
      <c r="G51" s="20" t="n">
        <v>200</v>
      </c>
      <c r="H51" s="16" t="s">
        <v>158</v>
      </c>
      <c r="I51" s="16"/>
      <c r="J51" s="15"/>
    </row>
    <row r="52" customFormat="false" ht="15" hidden="false" customHeight="false" outlineLevel="0" collapsed="false">
      <c r="A52" s="15" t="s">
        <v>159</v>
      </c>
      <c r="B52" s="16" t="s">
        <v>160</v>
      </c>
      <c r="C52" s="17" t="s">
        <v>49</v>
      </c>
      <c r="D52" s="18" t="n">
        <v>1</v>
      </c>
      <c r="E52" s="18" t="n">
        <v>0.98</v>
      </c>
      <c r="F52" s="19" t="n">
        <f aca="false">IFERROR(E52/D52,1)</f>
        <v>0.98</v>
      </c>
      <c r="G52" s="20" t="n">
        <v>10</v>
      </c>
      <c r="H52" s="16"/>
      <c r="I52" s="16"/>
      <c r="J52" s="15"/>
    </row>
    <row r="53" customFormat="false" ht="15" hidden="false" customHeight="false" outlineLevel="0" collapsed="false">
      <c r="A53" s="15" t="s">
        <v>161</v>
      </c>
      <c r="B53" s="16" t="s">
        <v>162</v>
      </c>
      <c r="C53" s="17" t="s">
        <v>49</v>
      </c>
      <c r="D53" s="18" t="n">
        <v>1</v>
      </c>
      <c r="E53" s="18" t="n">
        <v>0.98</v>
      </c>
      <c r="F53" s="19" t="n">
        <f aca="false">IFERROR(E53/D53,1)</f>
        <v>0.98</v>
      </c>
      <c r="G53" s="20" t="n">
        <v>27</v>
      </c>
      <c r="H53" s="16" t="s">
        <v>103</v>
      </c>
      <c r="I53" s="16"/>
      <c r="J53" s="15"/>
    </row>
    <row r="54" customFormat="false" ht="15" hidden="false" customHeight="false" outlineLevel="0" collapsed="false">
      <c r="A54" s="15" t="s">
        <v>163</v>
      </c>
      <c r="B54" s="16" t="s">
        <v>164</v>
      </c>
      <c r="C54" s="17" t="s">
        <v>49</v>
      </c>
      <c r="D54" s="18" t="n">
        <v>1</v>
      </c>
      <c r="E54" s="18" t="n">
        <v>0.95</v>
      </c>
      <c r="F54" s="19" t="n">
        <f aca="false">IFERROR(E54/D54,1)</f>
        <v>0.95</v>
      </c>
      <c r="G54" s="20" t="n">
        <v>60</v>
      </c>
      <c r="H54" s="16"/>
      <c r="I54" s="16"/>
      <c r="J54" s="15"/>
    </row>
    <row r="55" customFormat="false" ht="15" hidden="false" customHeight="false" outlineLevel="0" collapsed="false">
      <c r="A55" s="15" t="s">
        <v>165</v>
      </c>
      <c r="B55" s="16" t="s">
        <v>166</v>
      </c>
      <c r="C55" s="17" t="s">
        <v>49</v>
      </c>
      <c r="D55" s="18" t="n">
        <v>1</v>
      </c>
      <c r="E55" s="18" t="n">
        <v>0.98</v>
      </c>
      <c r="F55" s="19" t="n">
        <f aca="false">IFERROR(E55/D55,1)</f>
        <v>0.98</v>
      </c>
      <c r="G55" s="20" t="n">
        <v>69.9</v>
      </c>
      <c r="H55" s="16" t="s">
        <v>117</v>
      </c>
      <c r="I55" s="16"/>
      <c r="J55" s="15"/>
    </row>
    <row r="56" customFormat="false" ht="15" hidden="false" customHeight="false" outlineLevel="0" collapsed="false">
      <c r="A56" s="15" t="s">
        <v>167</v>
      </c>
      <c r="B56" s="16" t="s">
        <v>168</v>
      </c>
      <c r="C56" s="17" t="s">
        <v>49</v>
      </c>
      <c r="D56" s="18" t="n">
        <v>1</v>
      </c>
      <c r="E56" s="18" t="n">
        <v>0.95</v>
      </c>
      <c r="F56" s="19" t="n">
        <f aca="false">IFERROR(E56/D56,1)</f>
        <v>0.95</v>
      </c>
      <c r="G56" s="20" t="n">
        <v>94.9</v>
      </c>
      <c r="H56" s="16" t="s">
        <v>155</v>
      </c>
      <c r="I56" s="16"/>
      <c r="J56" s="15"/>
    </row>
    <row r="57" customFormat="false" ht="15" hidden="false" customHeight="false" outlineLevel="0" collapsed="false">
      <c r="A57" s="15" t="s">
        <v>169</v>
      </c>
      <c r="B57" s="16" t="s">
        <v>170</v>
      </c>
      <c r="C57" s="17" t="s">
        <v>49</v>
      </c>
      <c r="D57" s="18" t="n">
        <v>1</v>
      </c>
      <c r="E57" s="18" t="n">
        <v>0.84</v>
      </c>
      <c r="F57" s="19" t="n">
        <f aca="false">IFERROR(E57/D57,1)</f>
        <v>0.84</v>
      </c>
      <c r="G57" s="20" t="n">
        <v>6</v>
      </c>
      <c r="H57" s="16"/>
      <c r="I57" s="16"/>
      <c r="J57" s="15"/>
    </row>
    <row r="58" customFormat="false" ht="15" hidden="false" customHeight="false" outlineLevel="0" collapsed="false">
      <c r="A58" s="15" t="s">
        <v>171</v>
      </c>
      <c r="B58" s="16" t="s">
        <v>172</v>
      </c>
      <c r="C58" s="17" t="s">
        <v>49</v>
      </c>
      <c r="D58" s="18" t="n">
        <v>1</v>
      </c>
      <c r="E58" s="18" t="n">
        <v>0.98</v>
      </c>
      <c r="F58" s="19" t="n">
        <f aca="false">IFERROR(E58/D58,1)</f>
        <v>0.98</v>
      </c>
      <c r="G58" s="20" t="n">
        <v>7.9</v>
      </c>
      <c r="H58" s="16"/>
      <c r="I58" s="16"/>
      <c r="J58" s="15"/>
    </row>
    <row r="59" customFormat="false" ht="15" hidden="false" customHeight="false" outlineLevel="0" collapsed="false">
      <c r="A59" s="15" t="s">
        <v>173</v>
      </c>
      <c r="B59" s="16" t="s">
        <v>174</v>
      </c>
      <c r="C59" s="17" t="s">
        <v>49</v>
      </c>
      <c r="D59" s="18" t="n">
        <v>1</v>
      </c>
      <c r="E59" s="18" t="n">
        <v>0.98</v>
      </c>
      <c r="F59" s="19" t="n">
        <f aca="false">IFERROR(E59/D59,1)</f>
        <v>0.98</v>
      </c>
      <c r="G59" s="20" t="n">
        <v>34.89</v>
      </c>
      <c r="H59" s="16" t="s">
        <v>103</v>
      </c>
      <c r="I59" s="16"/>
      <c r="J59" s="15"/>
    </row>
    <row r="60" customFormat="false" ht="15" hidden="false" customHeight="false" outlineLevel="0" collapsed="false">
      <c r="A60" s="15" t="s">
        <v>175</v>
      </c>
      <c r="B60" s="16" t="s">
        <v>176</v>
      </c>
      <c r="C60" s="17" t="s">
        <v>49</v>
      </c>
      <c r="D60" s="18" t="n">
        <v>1</v>
      </c>
      <c r="E60" s="18" t="n">
        <v>0.98</v>
      </c>
      <c r="F60" s="19" t="n">
        <f aca="false">IFERROR(E60/D60,1)</f>
        <v>0.98</v>
      </c>
      <c r="G60" s="20" t="n">
        <v>55</v>
      </c>
      <c r="H60" s="16"/>
      <c r="I60" s="16"/>
      <c r="J60" s="15"/>
    </row>
    <row r="61" customFormat="false" ht="15" hidden="false" customHeight="false" outlineLevel="0" collapsed="false">
      <c r="A61" s="15" t="s">
        <v>177</v>
      </c>
      <c r="B61" s="16" t="s">
        <v>178</v>
      </c>
      <c r="C61" s="17" t="s">
        <v>49</v>
      </c>
      <c r="D61" s="18" t="n">
        <v>1</v>
      </c>
      <c r="E61" s="18" t="n">
        <v>0.95</v>
      </c>
      <c r="F61" s="19" t="n">
        <f aca="false">IFERROR(E61/D61,1)</f>
        <v>0.95</v>
      </c>
      <c r="G61" s="20" t="n">
        <v>70</v>
      </c>
      <c r="H61" s="16" t="s">
        <v>103</v>
      </c>
      <c r="I61" s="16"/>
      <c r="J61" s="15"/>
    </row>
    <row r="62" customFormat="false" ht="15" hidden="false" customHeight="false" outlineLevel="0" collapsed="false">
      <c r="A62" s="15" t="s">
        <v>179</v>
      </c>
      <c r="B62" s="16" t="s">
        <v>180</v>
      </c>
      <c r="C62" s="17" t="s">
        <v>49</v>
      </c>
      <c r="D62" s="18" t="n">
        <v>1</v>
      </c>
      <c r="E62" s="18" t="n">
        <v>0.98</v>
      </c>
      <c r="F62" s="19" t="n">
        <f aca="false">IFERROR(E62/D62,1)</f>
        <v>0.98</v>
      </c>
      <c r="G62" s="20" t="n">
        <v>64</v>
      </c>
      <c r="H62" s="16" t="s">
        <v>103</v>
      </c>
      <c r="I62" s="16"/>
      <c r="J62" s="15"/>
    </row>
    <row r="63" customFormat="false" ht="15" hidden="false" customHeight="false" outlineLevel="0" collapsed="false">
      <c r="A63" s="15" t="s">
        <v>181</v>
      </c>
      <c r="B63" s="16" t="s">
        <v>182</v>
      </c>
      <c r="C63" s="17" t="s">
        <v>49</v>
      </c>
      <c r="D63" s="18" t="n">
        <v>1</v>
      </c>
      <c r="E63" s="18" t="n">
        <v>0.95</v>
      </c>
      <c r="F63" s="19" t="n">
        <f aca="false">IFERROR(E63/D63,1)</f>
        <v>0.95</v>
      </c>
      <c r="G63" s="20" t="n">
        <v>33</v>
      </c>
      <c r="H63" s="16"/>
      <c r="I63" s="16"/>
      <c r="J63" s="15"/>
    </row>
    <row r="64" customFormat="false" ht="15" hidden="false" customHeight="false" outlineLevel="0" collapsed="false">
      <c r="A64" s="15" t="s">
        <v>183</v>
      </c>
      <c r="B64" s="16" t="s">
        <v>184</v>
      </c>
      <c r="C64" s="17" t="s">
        <v>49</v>
      </c>
      <c r="D64" s="18" t="n">
        <v>1</v>
      </c>
      <c r="E64" s="18" t="n">
        <v>0.95</v>
      </c>
      <c r="F64" s="19" t="n">
        <f aca="false">IFERROR(E64/D64,1)</f>
        <v>0.95</v>
      </c>
      <c r="G64" s="20" t="n">
        <v>34.5</v>
      </c>
      <c r="H64" s="16"/>
      <c r="I64" s="16"/>
      <c r="J64" s="15"/>
    </row>
    <row r="65" customFormat="false" ht="15" hidden="false" customHeight="false" outlineLevel="0" collapsed="false">
      <c r="A65" s="15" t="s">
        <v>185</v>
      </c>
      <c r="B65" s="16" t="s">
        <v>186</v>
      </c>
      <c r="C65" s="17" t="s">
        <v>49</v>
      </c>
      <c r="D65" s="18" t="n">
        <v>1</v>
      </c>
      <c r="E65" s="18" t="n">
        <v>0.95</v>
      </c>
      <c r="F65" s="19" t="n">
        <f aca="false">IFERROR(E65/D65,1)</f>
        <v>0.95</v>
      </c>
      <c r="G65" s="20" t="n">
        <v>7</v>
      </c>
      <c r="H65" s="16"/>
      <c r="I65" s="16"/>
      <c r="J65" s="15"/>
    </row>
    <row r="66" customFormat="false" ht="15" hidden="false" customHeight="false" outlineLevel="0" collapsed="false">
      <c r="A66" s="15" t="s">
        <v>187</v>
      </c>
      <c r="B66" s="16" t="s">
        <v>188</v>
      </c>
      <c r="C66" s="17" t="s">
        <v>49</v>
      </c>
      <c r="D66" s="18" t="n">
        <v>1</v>
      </c>
      <c r="E66" s="18" t="n">
        <v>0.98</v>
      </c>
      <c r="F66" s="19" t="n">
        <f aca="false">IFERROR(E66/D66,1)</f>
        <v>0.98</v>
      </c>
      <c r="G66" s="20" t="n">
        <v>38.9</v>
      </c>
      <c r="H66" s="16"/>
      <c r="I66" s="16"/>
      <c r="J66" s="15"/>
    </row>
    <row r="67" customFormat="false" ht="15" hidden="false" customHeight="false" outlineLevel="0" collapsed="false">
      <c r="A67" s="15" t="s">
        <v>189</v>
      </c>
      <c r="B67" s="16" t="s">
        <v>190</v>
      </c>
      <c r="C67" s="17" t="s">
        <v>49</v>
      </c>
      <c r="D67" s="18" t="n">
        <v>1</v>
      </c>
      <c r="E67" s="18" t="n">
        <v>0.98</v>
      </c>
      <c r="F67" s="19" t="n">
        <f aca="false">IFERROR(E67/D67,1)</f>
        <v>0.98</v>
      </c>
      <c r="G67" s="20" t="n">
        <v>33.9</v>
      </c>
      <c r="H67" s="16"/>
      <c r="I67" s="16"/>
      <c r="J67" s="15"/>
    </row>
    <row r="68" customFormat="false" ht="15" hidden="false" customHeight="false" outlineLevel="0" collapsed="false">
      <c r="A68" s="15" t="s">
        <v>191</v>
      </c>
      <c r="B68" s="16" t="s">
        <v>192</v>
      </c>
      <c r="C68" s="17" t="s">
        <v>49</v>
      </c>
      <c r="D68" s="18" t="n">
        <v>1</v>
      </c>
      <c r="E68" s="18" t="n">
        <v>0.98</v>
      </c>
      <c r="F68" s="19" t="n">
        <f aca="false">IFERROR(E68/D68,1)</f>
        <v>0.98</v>
      </c>
      <c r="G68" s="20" t="n">
        <v>10</v>
      </c>
      <c r="H68" s="16"/>
      <c r="I68" s="16"/>
      <c r="J68" s="15"/>
    </row>
    <row r="69" customFormat="false" ht="15" hidden="false" customHeight="false" outlineLevel="0" collapsed="false">
      <c r="A69" s="15" t="s">
        <v>193</v>
      </c>
      <c r="B69" s="16" t="s">
        <v>194</v>
      </c>
      <c r="C69" s="17" t="s">
        <v>49</v>
      </c>
      <c r="D69" s="18" t="n">
        <v>1</v>
      </c>
      <c r="E69" s="18" t="n">
        <v>0.85</v>
      </c>
      <c r="F69" s="19" t="n">
        <f aca="false">IFERROR(E69/D69,1)</f>
        <v>0.85</v>
      </c>
      <c r="G69" s="20" t="n">
        <v>53</v>
      </c>
      <c r="H69" s="16"/>
      <c r="I69" s="16"/>
      <c r="J69" s="15"/>
    </row>
    <row r="70" customFormat="false" ht="15" hidden="false" customHeight="false" outlineLevel="0" collapsed="false">
      <c r="A70" s="15" t="s">
        <v>195</v>
      </c>
      <c r="B70" s="16" t="s">
        <v>196</v>
      </c>
      <c r="C70" s="17" t="s">
        <v>49</v>
      </c>
      <c r="D70" s="18" t="n">
        <v>1</v>
      </c>
      <c r="E70" s="18" t="n">
        <v>0.95</v>
      </c>
      <c r="F70" s="19" t="n">
        <f aca="false">IFERROR(E70/D70,1)</f>
        <v>0.95</v>
      </c>
      <c r="G70" s="20" t="n">
        <v>17.2616</v>
      </c>
      <c r="H70" s="16"/>
      <c r="I70" s="16"/>
      <c r="J70" s="15"/>
    </row>
    <row r="71" customFormat="false" ht="15" hidden="false" customHeight="false" outlineLevel="0" collapsed="false">
      <c r="A71" s="15" t="s">
        <v>197</v>
      </c>
      <c r="B71" s="16" t="s">
        <v>198</v>
      </c>
      <c r="C71" s="17" t="s">
        <v>49</v>
      </c>
      <c r="D71" s="18" t="n">
        <v>1</v>
      </c>
      <c r="E71" s="18" t="n">
        <v>0.83</v>
      </c>
      <c r="F71" s="19" t="n">
        <f aca="false">IFERROR(E71/D71,1)</f>
        <v>0.83</v>
      </c>
      <c r="G71" s="20" t="n">
        <v>13.7</v>
      </c>
      <c r="H71" s="16"/>
      <c r="I71" s="16"/>
      <c r="J71" s="15"/>
    </row>
    <row r="72" customFormat="false" ht="15" hidden="false" customHeight="false" outlineLevel="0" collapsed="false">
      <c r="A72" s="15" t="s">
        <v>199</v>
      </c>
      <c r="B72" s="16" t="s">
        <v>200</v>
      </c>
      <c r="C72" s="17" t="s">
        <v>49</v>
      </c>
      <c r="D72" s="18" t="n">
        <v>1</v>
      </c>
      <c r="E72" s="18" t="n">
        <v>0.98</v>
      </c>
      <c r="F72" s="19" t="n">
        <f aca="false">IFERROR(E72/D72,1)</f>
        <v>0.98</v>
      </c>
      <c r="G72" s="20" t="n">
        <v>120</v>
      </c>
      <c r="H72" s="16"/>
      <c r="I72" s="16"/>
      <c r="J72" s="15"/>
    </row>
    <row r="73" customFormat="false" ht="15" hidden="false" customHeight="false" outlineLevel="0" collapsed="false">
      <c r="A73" s="15" t="s">
        <v>201</v>
      </c>
      <c r="B73" s="16" t="s">
        <v>202</v>
      </c>
      <c r="C73" s="17" t="s">
        <v>49</v>
      </c>
      <c r="D73" s="18" t="n">
        <v>0.015</v>
      </c>
      <c r="E73" s="18" t="n">
        <v>0.015</v>
      </c>
      <c r="F73" s="19" t="n">
        <f aca="false">IFERROR(E73/D73,1)</f>
        <v>1</v>
      </c>
      <c r="G73" s="20" t="n">
        <v>105.8</v>
      </c>
      <c r="H73" s="16" t="s">
        <v>203</v>
      </c>
      <c r="I73" s="16"/>
      <c r="J73" s="15"/>
    </row>
    <row r="74" customFormat="false" ht="15" hidden="false" customHeight="false" outlineLevel="0" collapsed="false">
      <c r="A74" s="15" t="s">
        <v>204</v>
      </c>
      <c r="B74" s="16" t="s">
        <v>205</v>
      </c>
      <c r="C74" s="17" t="s">
        <v>49</v>
      </c>
      <c r="D74" s="18" t="n">
        <v>1</v>
      </c>
      <c r="E74" s="18" t="n">
        <v>0.98</v>
      </c>
      <c r="F74" s="19" t="n">
        <f aca="false">IFERROR(E74/D74,1)</f>
        <v>0.98</v>
      </c>
      <c r="G74" s="20" t="n">
        <v>11</v>
      </c>
      <c r="H74" s="16" t="s">
        <v>103</v>
      </c>
      <c r="I74" s="16"/>
      <c r="J74" s="15"/>
    </row>
    <row r="75" customFormat="false" ht="15" hidden="false" customHeight="false" outlineLevel="0" collapsed="false">
      <c r="A75" s="15" t="s">
        <v>206</v>
      </c>
      <c r="B75" s="16" t="s">
        <v>207</v>
      </c>
      <c r="C75" s="17" t="s">
        <v>49</v>
      </c>
      <c r="D75" s="18" t="n">
        <v>1</v>
      </c>
      <c r="E75" s="18" t="n">
        <v>0.98</v>
      </c>
      <c r="F75" s="19" t="n">
        <f aca="false">IFERROR(E75/D75,1)</f>
        <v>0.98</v>
      </c>
      <c r="G75" s="20" t="n">
        <v>9.54</v>
      </c>
      <c r="H75" s="16" t="s">
        <v>155</v>
      </c>
      <c r="I75" s="16"/>
      <c r="J75" s="15"/>
    </row>
    <row r="76" customFormat="false" ht="15" hidden="false" customHeight="false" outlineLevel="0" collapsed="false">
      <c r="A76" s="15" t="s">
        <v>208</v>
      </c>
      <c r="B76" s="16" t="s">
        <v>209</v>
      </c>
      <c r="C76" s="17" t="s">
        <v>49</v>
      </c>
      <c r="D76" s="18" t="n">
        <v>1</v>
      </c>
      <c r="E76" s="18" t="n">
        <v>0.98</v>
      </c>
      <c r="F76" s="19" t="n">
        <f aca="false">IFERROR(E76/D76,1)</f>
        <v>0.98</v>
      </c>
      <c r="G76" s="20" t="n">
        <v>65</v>
      </c>
      <c r="H76" s="16" t="s">
        <v>125</v>
      </c>
      <c r="I76" s="16"/>
      <c r="J76" s="15"/>
    </row>
    <row r="77" customFormat="false" ht="15" hidden="false" customHeight="false" outlineLevel="0" collapsed="false">
      <c r="A77" s="15" t="s">
        <v>210</v>
      </c>
      <c r="B77" s="16" t="s">
        <v>211</v>
      </c>
      <c r="C77" s="17" t="s">
        <v>49</v>
      </c>
      <c r="D77" s="18" t="n">
        <v>1</v>
      </c>
      <c r="E77" s="18" t="n">
        <v>0.98</v>
      </c>
      <c r="F77" s="19" t="n">
        <f aca="false">IFERROR(E77/D77,1)</f>
        <v>0.98</v>
      </c>
      <c r="G77" s="20" t="n">
        <v>7.49</v>
      </c>
      <c r="H77" s="16" t="s">
        <v>125</v>
      </c>
      <c r="I77" s="16"/>
      <c r="J77" s="15"/>
    </row>
    <row r="78" customFormat="false" ht="15" hidden="false" customHeight="false" outlineLevel="0" collapsed="false">
      <c r="A78" s="15" t="s">
        <v>212</v>
      </c>
      <c r="B78" s="16" t="s">
        <v>213</v>
      </c>
      <c r="C78" s="17" t="s">
        <v>49</v>
      </c>
      <c r="D78" s="18" t="n">
        <v>1</v>
      </c>
      <c r="E78" s="18" t="n">
        <v>0.98</v>
      </c>
      <c r="F78" s="19" t="n">
        <f aca="false">IFERROR(E78/D78,1)</f>
        <v>0.98</v>
      </c>
      <c r="G78" s="20" t="n">
        <v>9.5</v>
      </c>
      <c r="H78" s="16"/>
      <c r="I78" s="16"/>
      <c r="J78" s="15"/>
    </row>
    <row r="79" customFormat="false" ht="15" hidden="false" customHeight="false" outlineLevel="0" collapsed="false">
      <c r="A79" s="15" t="s">
        <v>214</v>
      </c>
      <c r="B79" s="16" t="s">
        <v>215</v>
      </c>
      <c r="C79" s="17" t="s">
        <v>49</v>
      </c>
      <c r="D79" s="18" t="n">
        <v>1</v>
      </c>
      <c r="E79" s="18" t="n">
        <v>0.98</v>
      </c>
      <c r="F79" s="19" t="n">
        <f aca="false">IFERROR(E79/D79,1)</f>
        <v>0.98</v>
      </c>
      <c r="G79" s="20" t="n">
        <v>22.5</v>
      </c>
      <c r="H79" s="16" t="s">
        <v>125</v>
      </c>
      <c r="I79" s="16"/>
      <c r="J79" s="15"/>
    </row>
    <row r="80" customFormat="false" ht="15" hidden="false" customHeight="false" outlineLevel="0" collapsed="false">
      <c r="A80" s="15" t="s">
        <v>216</v>
      </c>
      <c r="B80" s="16" t="s">
        <v>217</v>
      </c>
      <c r="C80" s="17" t="s">
        <v>49</v>
      </c>
      <c r="D80" s="18" t="n">
        <v>1</v>
      </c>
      <c r="E80" s="18" t="n">
        <v>0.98</v>
      </c>
      <c r="F80" s="19" t="n">
        <f aca="false">IFERROR(E80/D80,1)</f>
        <v>0.98</v>
      </c>
      <c r="G80" s="20" t="n">
        <v>36.8</v>
      </c>
      <c r="H80" s="16"/>
      <c r="I80" s="16"/>
      <c r="J80" s="15"/>
    </row>
    <row r="81" customFormat="false" ht="15" hidden="false" customHeight="false" outlineLevel="0" collapsed="false">
      <c r="A81" s="15" t="s">
        <v>218</v>
      </c>
      <c r="B81" s="16" t="s">
        <v>219</v>
      </c>
      <c r="C81" s="17" t="s">
        <v>49</v>
      </c>
      <c r="D81" s="18" t="n">
        <v>1</v>
      </c>
      <c r="E81" s="18" t="n">
        <v>0.98</v>
      </c>
      <c r="F81" s="19" t="n">
        <f aca="false">IFERROR(E81/D81,1)</f>
        <v>0.98</v>
      </c>
      <c r="G81" s="20" t="n">
        <v>4</v>
      </c>
      <c r="H81" s="16"/>
      <c r="I81" s="16"/>
      <c r="J81" s="15"/>
    </row>
    <row r="82" customFormat="false" ht="15" hidden="false" customHeight="false" outlineLevel="0" collapsed="false">
      <c r="A82" s="15" t="s">
        <v>220</v>
      </c>
      <c r="B82" s="16" t="s">
        <v>221</v>
      </c>
      <c r="C82" s="17" t="s">
        <v>49</v>
      </c>
      <c r="D82" s="18" t="n">
        <v>1</v>
      </c>
      <c r="E82" s="18" t="n">
        <v>0.98</v>
      </c>
      <c r="F82" s="19" t="n">
        <f aca="false">IFERROR(E82/D82,1)</f>
        <v>0.98</v>
      </c>
      <c r="G82" s="20" t="n">
        <v>11.8</v>
      </c>
      <c r="H82" s="16" t="s">
        <v>103</v>
      </c>
      <c r="I82" s="16"/>
      <c r="J82" s="15"/>
    </row>
    <row r="83" customFormat="false" ht="15" hidden="false" customHeight="false" outlineLevel="0" collapsed="false">
      <c r="A83" s="15" t="s">
        <v>222</v>
      </c>
      <c r="B83" s="16" t="s">
        <v>223</v>
      </c>
      <c r="C83" s="17" t="s">
        <v>49</v>
      </c>
      <c r="D83" s="18" t="n">
        <v>1</v>
      </c>
      <c r="E83" s="18" t="n">
        <v>1</v>
      </c>
      <c r="F83" s="19" t="n">
        <f aca="false">IFERROR(E83/D83,1)</f>
        <v>1</v>
      </c>
      <c r="G83" s="20" t="n">
        <v>8.9</v>
      </c>
      <c r="H83" s="16" t="s">
        <v>224</v>
      </c>
      <c r="I83" s="16"/>
      <c r="J83" s="15"/>
    </row>
    <row r="84" customFormat="false" ht="15" hidden="false" customHeight="false" outlineLevel="0" collapsed="false">
      <c r="A84" s="15" t="s">
        <v>225</v>
      </c>
      <c r="B84" s="16" t="s">
        <v>226</v>
      </c>
      <c r="C84" s="17" t="s">
        <v>49</v>
      </c>
      <c r="D84" s="18" t="n">
        <v>1</v>
      </c>
      <c r="E84" s="18" t="n">
        <v>0.98</v>
      </c>
      <c r="F84" s="19" t="n">
        <f aca="false">IFERROR(E84/D84,1)</f>
        <v>0.98</v>
      </c>
      <c r="G84" s="20" t="n">
        <v>14.9</v>
      </c>
      <c r="H84" s="16" t="s">
        <v>227</v>
      </c>
      <c r="I84" s="16"/>
      <c r="J84" s="15"/>
    </row>
    <row r="85" customFormat="false" ht="15" hidden="false" customHeight="false" outlineLevel="0" collapsed="false">
      <c r="A85" s="15" t="s">
        <v>228</v>
      </c>
      <c r="B85" s="16" t="s">
        <v>229</v>
      </c>
      <c r="C85" s="17" t="s">
        <v>49</v>
      </c>
      <c r="D85" s="18" t="n">
        <v>1</v>
      </c>
      <c r="E85" s="18" t="n">
        <v>0.98</v>
      </c>
      <c r="F85" s="19" t="n">
        <f aca="false">IFERROR(E85/D85,1)</f>
        <v>0.98</v>
      </c>
      <c r="G85" s="20" t="n">
        <v>55.96</v>
      </c>
      <c r="H85" s="16" t="s">
        <v>108</v>
      </c>
      <c r="I85" s="16"/>
      <c r="J85" s="15"/>
    </row>
    <row r="86" customFormat="false" ht="15" hidden="false" customHeight="false" outlineLevel="0" collapsed="false">
      <c r="A86" s="15" t="s">
        <v>230</v>
      </c>
      <c r="B86" s="16" t="s">
        <v>231</v>
      </c>
      <c r="C86" s="17" t="s">
        <v>49</v>
      </c>
      <c r="D86" s="18" t="n">
        <v>1</v>
      </c>
      <c r="E86" s="18" t="n">
        <v>0.98</v>
      </c>
      <c r="F86" s="19" t="n">
        <f aca="false">IFERROR(E86/D86,1)</f>
        <v>0.98</v>
      </c>
      <c r="G86" s="20" t="n">
        <v>45</v>
      </c>
      <c r="H86" s="16"/>
      <c r="I86" s="16"/>
      <c r="J86" s="15"/>
    </row>
    <row r="87" customFormat="false" ht="15" hidden="false" customHeight="false" outlineLevel="0" collapsed="false">
      <c r="A87" s="15" t="s">
        <v>232</v>
      </c>
      <c r="B87" s="16" t="s">
        <v>233</v>
      </c>
      <c r="C87" s="17" t="s">
        <v>49</v>
      </c>
      <c r="D87" s="18" t="n">
        <v>1</v>
      </c>
      <c r="E87" s="18" t="n">
        <v>0.98</v>
      </c>
      <c r="F87" s="19" t="n">
        <f aca="false">IFERROR(E87/D87,1)</f>
        <v>0.98</v>
      </c>
      <c r="G87" s="20" t="n">
        <v>16</v>
      </c>
      <c r="H87" s="16" t="s">
        <v>234</v>
      </c>
      <c r="I87" s="16"/>
      <c r="J87" s="15"/>
    </row>
    <row r="88" customFormat="false" ht="15" hidden="false" customHeight="false" outlineLevel="0" collapsed="false">
      <c r="A88" s="15" t="s">
        <v>235</v>
      </c>
      <c r="B88" s="16" t="s">
        <v>236</v>
      </c>
      <c r="C88" s="17" t="s">
        <v>49</v>
      </c>
      <c r="D88" s="18" t="n">
        <v>1</v>
      </c>
      <c r="E88" s="18" t="n">
        <v>0.98</v>
      </c>
      <c r="F88" s="19" t="n">
        <f aca="false">IFERROR(E88/D88,1)</f>
        <v>0.98</v>
      </c>
      <c r="G88" s="20" t="n">
        <v>2.89</v>
      </c>
      <c r="H88" s="16" t="s">
        <v>108</v>
      </c>
      <c r="I88" s="16"/>
      <c r="J88" s="15"/>
    </row>
    <row r="89" customFormat="false" ht="15" hidden="false" customHeight="false" outlineLevel="0" collapsed="false">
      <c r="A89" s="15" t="s">
        <v>237</v>
      </c>
      <c r="B89" s="16" t="s">
        <v>238</v>
      </c>
      <c r="C89" s="17" t="s">
        <v>49</v>
      </c>
      <c r="D89" s="18" t="n">
        <v>1</v>
      </c>
      <c r="E89" s="18" t="n">
        <v>0.98</v>
      </c>
      <c r="F89" s="19" t="n">
        <f aca="false">IFERROR(E89/D89,1)</f>
        <v>0.98</v>
      </c>
      <c r="G89" s="20" t="n">
        <v>15</v>
      </c>
      <c r="H89" s="16" t="s">
        <v>125</v>
      </c>
      <c r="I89" s="16"/>
      <c r="J89" s="15"/>
    </row>
    <row r="90" customFormat="false" ht="15" hidden="false" customHeight="false" outlineLevel="0" collapsed="false">
      <c r="A90" s="15" t="s">
        <v>239</v>
      </c>
      <c r="B90" s="16" t="s">
        <v>240</v>
      </c>
      <c r="C90" s="17" t="s">
        <v>49</v>
      </c>
      <c r="D90" s="18" t="n">
        <v>0.3</v>
      </c>
      <c r="E90" s="18" t="n">
        <v>0.29</v>
      </c>
      <c r="F90" s="19" t="n">
        <f aca="false">IFERROR(E90/D90,1)</f>
        <v>0.966666666666667</v>
      </c>
      <c r="G90" s="20" t="n">
        <v>8</v>
      </c>
      <c r="H90" s="16"/>
      <c r="I90" s="16"/>
      <c r="J90" s="15"/>
    </row>
    <row r="91" customFormat="false" ht="15" hidden="false" customHeight="false" outlineLevel="0" collapsed="false">
      <c r="A91" s="15" t="s">
        <v>241</v>
      </c>
      <c r="B91" s="16" t="s">
        <v>242</v>
      </c>
      <c r="C91" s="17" t="s">
        <v>49</v>
      </c>
      <c r="D91" s="18" t="n">
        <v>1</v>
      </c>
      <c r="E91" s="18" t="n">
        <v>0.47</v>
      </c>
      <c r="F91" s="19" t="n">
        <f aca="false">IFERROR(E91/D91,1)</f>
        <v>0.47</v>
      </c>
      <c r="G91" s="20" t="n">
        <v>15</v>
      </c>
      <c r="H91" s="16"/>
      <c r="I91" s="16"/>
      <c r="J91" s="15"/>
    </row>
    <row r="92" customFormat="false" ht="15" hidden="false" customHeight="false" outlineLevel="0" collapsed="false">
      <c r="A92" s="15" t="s">
        <v>243</v>
      </c>
      <c r="B92" s="16" t="s">
        <v>244</v>
      </c>
      <c r="C92" s="17" t="s">
        <v>49</v>
      </c>
      <c r="D92" s="18" t="n">
        <v>1</v>
      </c>
      <c r="E92" s="18" t="n">
        <v>0.53</v>
      </c>
      <c r="F92" s="19" t="n">
        <f aca="false">IFERROR(E92/D92,1)</f>
        <v>0.53</v>
      </c>
      <c r="G92" s="20" t="n">
        <v>7.45</v>
      </c>
      <c r="H92" s="16"/>
      <c r="I92" s="16"/>
      <c r="J92" s="15"/>
    </row>
    <row r="93" customFormat="false" ht="15" hidden="false" customHeight="false" outlineLevel="0" collapsed="false">
      <c r="A93" s="15" t="s">
        <v>245</v>
      </c>
      <c r="B93" s="16" t="s">
        <v>246</v>
      </c>
      <c r="C93" s="17" t="s">
        <v>49</v>
      </c>
      <c r="D93" s="18" t="n">
        <v>1</v>
      </c>
      <c r="E93" s="18" t="n">
        <v>0.95</v>
      </c>
      <c r="F93" s="19" t="n">
        <f aca="false">IFERROR(E93/D93,1)</f>
        <v>0.95</v>
      </c>
      <c r="G93" s="20" t="n">
        <v>19.99</v>
      </c>
      <c r="H93" s="16"/>
      <c r="I93" s="16"/>
      <c r="J93" s="15"/>
    </row>
    <row r="94" customFormat="false" ht="15" hidden="false" customHeight="false" outlineLevel="0" collapsed="false">
      <c r="A94" s="15" t="s">
        <v>247</v>
      </c>
      <c r="B94" s="16" t="s">
        <v>248</v>
      </c>
      <c r="C94" s="17" t="s">
        <v>49</v>
      </c>
      <c r="D94" s="18" t="n">
        <v>1</v>
      </c>
      <c r="E94" s="18" t="n">
        <v>0.98</v>
      </c>
      <c r="F94" s="19" t="n">
        <f aca="false">IFERROR(E94/D94,1)</f>
        <v>0.98</v>
      </c>
      <c r="G94" s="20" t="n">
        <v>48.85</v>
      </c>
      <c r="H94" s="16" t="s">
        <v>103</v>
      </c>
      <c r="I94" s="16"/>
      <c r="J94" s="15"/>
    </row>
    <row r="95" customFormat="false" ht="15" hidden="false" customHeight="false" outlineLevel="0" collapsed="false">
      <c r="A95" s="15" t="s">
        <v>249</v>
      </c>
      <c r="B95" s="16" t="s">
        <v>250</v>
      </c>
      <c r="C95" s="17" t="s">
        <v>49</v>
      </c>
      <c r="D95" s="18" t="n">
        <v>1</v>
      </c>
      <c r="E95" s="18" t="n">
        <v>0.98</v>
      </c>
      <c r="F95" s="19" t="n">
        <f aca="false">IFERROR(E95/D95,1)</f>
        <v>0.98</v>
      </c>
      <c r="G95" s="20" t="n">
        <v>41.42</v>
      </c>
      <c r="H95" s="16" t="s">
        <v>103</v>
      </c>
      <c r="I95" s="16"/>
      <c r="J95" s="15"/>
    </row>
    <row r="96" customFormat="false" ht="15" hidden="false" customHeight="false" outlineLevel="0" collapsed="false">
      <c r="A96" s="15" t="s">
        <v>251</v>
      </c>
      <c r="B96" s="16" t="s">
        <v>252</v>
      </c>
      <c r="C96" s="17" t="s">
        <v>49</v>
      </c>
      <c r="D96" s="18" t="n">
        <v>1</v>
      </c>
      <c r="E96" s="18" t="n">
        <v>0.95</v>
      </c>
      <c r="F96" s="19" t="n">
        <f aca="false">IFERROR(E96/D96,1)</f>
        <v>0.95</v>
      </c>
      <c r="G96" s="20" t="n">
        <v>6.3</v>
      </c>
      <c r="H96" s="16" t="s">
        <v>253</v>
      </c>
      <c r="I96" s="16"/>
      <c r="J96" s="15"/>
    </row>
    <row r="97" customFormat="false" ht="15" hidden="false" customHeight="false" outlineLevel="0" collapsed="false">
      <c r="A97" s="15" t="s">
        <v>254</v>
      </c>
      <c r="B97" s="16" t="s">
        <v>255</v>
      </c>
      <c r="C97" s="17" t="s">
        <v>49</v>
      </c>
      <c r="D97" s="18" t="n">
        <v>1</v>
      </c>
      <c r="E97" s="18" t="n">
        <v>0.95</v>
      </c>
      <c r="F97" s="19" t="n">
        <f aca="false">IFERROR(E97/D97,1)</f>
        <v>0.95</v>
      </c>
      <c r="G97" s="20" t="n">
        <v>69</v>
      </c>
      <c r="H97" s="16"/>
      <c r="I97" s="16"/>
      <c r="J97" s="15"/>
    </row>
    <row r="98" customFormat="false" ht="15" hidden="false" customHeight="false" outlineLevel="0" collapsed="false">
      <c r="A98" s="15" t="s">
        <v>256</v>
      </c>
      <c r="B98" s="16" t="s">
        <v>257</v>
      </c>
      <c r="C98" s="17" t="s">
        <v>49</v>
      </c>
      <c r="D98" s="18" t="n">
        <v>1</v>
      </c>
      <c r="E98" s="18" t="n">
        <v>0.98</v>
      </c>
      <c r="F98" s="19" t="n">
        <f aca="false">IFERROR(E98/D98,1)</f>
        <v>0.98</v>
      </c>
      <c r="G98" s="20" t="n">
        <v>36.86</v>
      </c>
      <c r="H98" s="16"/>
      <c r="I98" s="16"/>
      <c r="J98" s="15"/>
    </row>
    <row r="99" customFormat="false" ht="15" hidden="false" customHeight="false" outlineLevel="0" collapsed="false">
      <c r="A99" s="15" t="s">
        <v>258</v>
      </c>
      <c r="B99" s="16" t="s">
        <v>259</v>
      </c>
      <c r="C99" s="17" t="s">
        <v>49</v>
      </c>
      <c r="D99" s="18" t="n">
        <v>1</v>
      </c>
      <c r="E99" s="18" t="n">
        <v>0.95</v>
      </c>
      <c r="F99" s="19" t="n">
        <f aca="false">IFERROR(E99/D99,1)</f>
        <v>0.95</v>
      </c>
      <c r="G99" s="20" t="n">
        <v>40</v>
      </c>
      <c r="H99" s="16"/>
      <c r="I99" s="16"/>
      <c r="J99" s="15"/>
    </row>
    <row r="100" customFormat="false" ht="15" hidden="false" customHeight="false" outlineLevel="0" collapsed="false">
      <c r="A100" s="15" t="s">
        <v>260</v>
      </c>
      <c r="B100" s="16" t="s">
        <v>261</v>
      </c>
      <c r="C100" s="17" t="s">
        <v>49</v>
      </c>
      <c r="D100" s="18" t="n">
        <v>1</v>
      </c>
      <c r="E100" s="18" t="n">
        <v>0.98</v>
      </c>
      <c r="F100" s="19" t="n">
        <f aca="false">IFERROR(E100/D100,1)</f>
        <v>0.98</v>
      </c>
      <c r="G100" s="20" t="n">
        <v>15</v>
      </c>
      <c r="H100" s="16" t="s">
        <v>103</v>
      </c>
      <c r="I100" s="16"/>
      <c r="J100" s="15"/>
    </row>
    <row r="101" customFormat="false" ht="15" hidden="false" customHeight="false" outlineLevel="0" collapsed="false">
      <c r="A101" s="15" t="s">
        <v>262</v>
      </c>
      <c r="B101" s="16" t="s">
        <v>263</v>
      </c>
      <c r="C101" s="17" t="s">
        <v>49</v>
      </c>
      <c r="D101" s="18" t="n">
        <v>1</v>
      </c>
      <c r="E101" s="18" t="n">
        <v>0.94</v>
      </c>
      <c r="F101" s="19" t="n">
        <f aca="false">IFERROR(E101/D101,1)</f>
        <v>0.94</v>
      </c>
      <c r="G101" s="20" t="n">
        <v>2.99</v>
      </c>
      <c r="H101" s="16"/>
      <c r="I101" s="16"/>
      <c r="J101" s="15"/>
    </row>
    <row r="102" customFormat="false" ht="15" hidden="false" customHeight="false" outlineLevel="0" collapsed="false">
      <c r="A102" s="15" t="s">
        <v>264</v>
      </c>
      <c r="B102" s="16" t="s">
        <v>265</v>
      </c>
      <c r="C102" s="17" t="s">
        <v>49</v>
      </c>
      <c r="D102" s="18" t="n">
        <v>0.9</v>
      </c>
      <c r="E102" s="18" t="n">
        <v>0.88</v>
      </c>
      <c r="F102" s="19" t="n">
        <f aca="false">IFERROR(E102/D102,1)</f>
        <v>0.977777777777778</v>
      </c>
      <c r="G102" s="20" t="n">
        <v>28.08</v>
      </c>
      <c r="H102" s="16"/>
      <c r="I102" s="16"/>
      <c r="J102" s="15"/>
    </row>
    <row r="103" customFormat="false" ht="15" hidden="false" customHeight="false" outlineLevel="0" collapsed="false">
      <c r="A103" s="15" t="s">
        <v>266</v>
      </c>
      <c r="B103" s="16" t="s">
        <v>267</v>
      </c>
      <c r="C103" s="17" t="s">
        <v>49</v>
      </c>
      <c r="D103" s="18" t="n">
        <v>1</v>
      </c>
      <c r="E103" s="18" t="n">
        <v>0.98</v>
      </c>
      <c r="F103" s="19" t="n">
        <f aca="false">IFERROR(E103/D103,1)</f>
        <v>0.98</v>
      </c>
      <c r="G103" s="20" t="n">
        <v>101.35</v>
      </c>
      <c r="H103" s="16"/>
      <c r="I103" s="16"/>
      <c r="J103" s="15"/>
    </row>
    <row r="104" customFormat="false" ht="15" hidden="false" customHeight="false" outlineLevel="0" collapsed="false">
      <c r="A104" s="15" t="s">
        <v>268</v>
      </c>
      <c r="B104" s="16" t="s">
        <v>269</v>
      </c>
      <c r="C104" s="17" t="s">
        <v>60</v>
      </c>
      <c r="D104" s="18" t="n">
        <v>1</v>
      </c>
      <c r="E104" s="18" t="n">
        <v>0.98</v>
      </c>
      <c r="F104" s="19" t="n">
        <f aca="false">IFERROR(E104/D104,1)</f>
        <v>0.98</v>
      </c>
      <c r="G104" s="20" t="n">
        <v>10.8</v>
      </c>
      <c r="H104" s="16" t="s">
        <v>270</v>
      </c>
      <c r="I104" s="16"/>
      <c r="J104" s="15"/>
    </row>
    <row r="105" customFormat="false" ht="15" hidden="false" customHeight="false" outlineLevel="0" collapsed="false">
      <c r="A105" s="15" t="s">
        <v>271</v>
      </c>
      <c r="B105" s="16" t="s">
        <v>272</v>
      </c>
      <c r="C105" s="17" t="s">
        <v>60</v>
      </c>
      <c r="D105" s="18" t="n">
        <v>1</v>
      </c>
      <c r="E105" s="18" t="n">
        <v>0.98</v>
      </c>
      <c r="F105" s="19" t="n">
        <f aca="false">IFERROR(E105/D105,1)</f>
        <v>0.98</v>
      </c>
      <c r="G105" s="20" t="n">
        <v>21.4</v>
      </c>
      <c r="H105" s="16"/>
      <c r="I105" s="16"/>
      <c r="J105" s="15"/>
    </row>
    <row r="106" customFormat="false" ht="15" hidden="false" customHeight="false" outlineLevel="0" collapsed="false">
      <c r="A106" s="15" t="s">
        <v>273</v>
      </c>
      <c r="B106" s="16" t="s">
        <v>274</v>
      </c>
      <c r="C106" s="17" t="s">
        <v>60</v>
      </c>
      <c r="D106" s="18" t="n">
        <v>1</v>
      </c>
      <c r="E106" s="18" t="n">
        <v>0.98</v>
      </c>
      <c r="F106" s="19" t="n">
        <f aca="false">IFERROR(E106/D106,1)</f>
        <v>0.98</v>
      </c>
      <c r="G106" s="20" t="n">
        <v>16</v>
      </c>
      <c r="H106" s="16" t="s">
        <v>108</v>
      </c>
      <c r="I106" s="16"/>
      <c r="J106" s="15"/>
    </row>
    <row r="107" customFormat="false" ht="15" hidden="false" customHeight="false" outlineLevel="0" collapsed="false">
      <c r="A107" s="15" t="s">
        <v>275</v>
      </c>
      <c r="B107" s="16" t="s">
        <v>276</v>
      </c>
      <c r="C107" s="17" t="s">
        <v>49</v>
      </c>
      <c r="D107" s="18" t="n">
        <v>1</v>
      </c>
      <c r="E107" s="18" t="n">
        <v>0.98</v>
      </c>
      <c r="F107" s="19" t="n">
        <f aca="false">IFERROR(E107/D107,1)</f>
        <v>0.98</v>
      </c>
      <c r="G107" s="20" t="n">
        <v>63.7</v>
      </c>
      <c r="H107" s="16" t="s">
        <v>103</v>
      </c>
      <c r="I107" s="16"/>
      <c r="J107" s="15"/>
    </row>
    <row r="108" customFormat="false" ht="15" hidden="false" customHeight="false" outlineLevel="0" collapsed="false">
      <c r="A108" s="15" t="s">
        <v>277</v>
      </c>
      <c r="B108" s="16" t="s">
        <v>278</v>
      </c>
      <c r="C108" s="17" t="s">
        <v>60</v>
      </c>
      <c r="D108" s="18" t="n">
        <v>1</v>
      </c>
      <c r="E108" s="18" t="n">
        <v>0.95</v>
      </c>
      <c r="F108" s="19" t="n">
        <f aca="false">IFERROR(E108/D108,1)</f>
        <v>0.95</v>
      </c>
      <c r="G108" s="20" t="n">
        <v>6.29</v>
      </c>
      <c r="H108" s="16"/>
      <c r="I108" s="16"/>
      <c r="J108" s="15"/>
    </row>
    <row r="109" customFormat="false" ht="15" hidden="false" customHeight="false" outlineLevel="0" collapsed="false">
      <c r="A109" s="15" t="s">
        <v>279</v>
      </c>
      <c r="B109" s="16" t="s">
        <v>280</v>
      </c>
      <c r="C109" s="17" t="s">
        <v>49</v>
      </c>
      <c r="D109" s="18" t="n">
        <v>1</v>
      </c>
      <c r="E109" s="18" t="n">
        <v>0.98</v>
      </c>
      <c r="F109" s="19" t="n">
        <f aca="false">IFERROR(E109/D109,1)</f>
        <v>0.98</v>
      </c>
      <c r="G109" s="20" t="n">
        <v>19.04</v>
      </c>
      <c r="H109" s="16" t="s">
        <v>125</v>
      </c>
      <c r="I109" s="16"/>
      <c r="J109" s="15"/>
    </row>
    <row r="110" customFormat="false" ht="15" hidden="false" customHeight="false" outlineLevel="0" collapsed="false">
      <c r="A110" s="15" t="s">
        <v>281</v>
      </c>
      <c r="B110" s="16" t="s">
        <v>282</v>
      </c>
      <c r="C110" s="17" t="s">
        <v>49</v>
      </c>
      <c r="D110" s="18" t="n">
        <v>1</v>
      </c>
      <c r="E110" s="18" t="n">
        <v>0.98</v>
      </c>
      <c r="F110" s="19" t="n">
        <f aca="false">IFERROR(E110/D110,1)</f>
        <v>0.98</v>
      </c>
      <c r="G110" s="20" t="n">
        <v>149.9</v>
      </c>
      <c r="H110" s="16" t="s">
        <v>283</v>
      </c>
      <c r="I110" s="16"/>
      <c r="J110" s="15"/>
    </row>
    <row r="111" customFormat="false" ht="15" hidden="false" customHeight="false" outlineLevel="0" collapsed="false">
      <c r="A111" s="15" t="s">
        <v>284</v>
      </c>
      <c r="B111" s="16" t="s">
        <v>285</v>
      </c>
      <c r="C111" s="17" t="s">
        <v>49</v>
      </c>
      <c r="D111" s="18" t="n">
        <v>1</v>
      </c>
      <c r="E111" s="18" t="n">
        <v>0.98</v>
      </c>
      <c r="F111" s="19" t="n">
        <f aca="false">IFERROR(E111/D111,1)</f>
        <v>0.98</v>
      </c>
      <c r="G111" s="20" t="n">
        <v>28.75</v>
      </c>
      <c r="H111" s="16"/>
      <c r="I111" s="16"/>
      <c r="J111" s="15"/>
    </row>
    <row r="112" customFormat="false" ht="15" hidden="false" customHeight="false" outlineLevel="0" collapsed="false">
      <c r="A112" s="15" t="s">
        <v>286</v>
      </c>
      <c r="B112" s="16" t="s">
        <v>287</v>
      </c>
      <c r="C112" s="17" t="s">
        <v>49</v>
      </c>
      <c r="D112" s="18" t="n">
        <v>1</v>
      </c>
      <c r="E112" s="18" t="n">
        <v>0.98</v>
      </c>
      <c r="F112" s="19" t="n">
        <f aca="false">IFERROR(E112/D112,1)</f>
        <v>0.98</v>
      </c>
      <c r="G112" s="20" t="n">
        <v>44.55</v>
      </c>
      <c r="H112" s="16" t="s">
        <v>149</v>
      </c>
      <c r="I112" s="16"/>
      <c r="J112" s="15"/>
    </row>
    <row r="113" customFormat="false" ht="15" hidden="false" customHeight="false" outlineLevel="0" collapsed="false">
      <c r="A113" s="15" t="s">
        <v>288</v>
      </c>
      <c r="B113" s="16" t="s">
        <v>289</v>
      </c>
      <c r="C113" s="17" t="s">
        <v>49</v>
      </c>
      <c r="D113" s="18" t="n">
        <v>1</v>
      </c>
      <c r="E113" s="18" t="n">
        <v>0.98</v>
      </c>
      <c r="F113" s="19" t="n">
        <f aca="false">IFERROR(E113/D113,1)</f>
        <v>0.98</v>
      </c>
      <c r="G113" s="20" t="n">
        <v>7.5</v>
      </c>
      <c r="H113" s="16" t="s">
        <v>100</v>
      </c>
      <c r="I113" s="16"/>
      <c r="J113" s="15"/>
    </row>
    <row r="114" customFormat="false" ht="15" hidden="false" customHeight="false" outlineLevel="0" collapsed="false">
      <c r="A114" s="15" t="s">
        <v>290</v>
      </c>
      <c r="B114" s="16" t="s">
        <v>291</v>
      </c>
      <c r="C114" s="17" t="s">
        <v>49</v>
      </c>
      <c r="D114" s="18" t="n">
        <v>1</v>
      </c>
      <c r="E114" s="18" t="n">
        <v>0.75</v>
      </c>
      <c r="F114" s="19" t="n">
        <f aca="false">IFERROR(E114/D114,1)</f>
        <v>0.75</v>
      </c>
      <c r="G114" s="20" t="n">
        <v>11.9</v>
      </c>
      <c r="H114" s="16" t="s">
        <v>132</v>
      </c>
      <c r="I114" s="16"/>
      <c r="J114" s="15"/>
    </row>
    <row r="115" customFormat="false" ht="15" hidden="false" customHeight="false" outlineLevel="0" collapsed="false">
      <c r="A115" s="15" t="s">
        <v>292</v>
      </c>
      <c r="B115" s="16" t="s">
        <v>293</v>
      </c>
      <c r="C115" s="17" t="s">
        <v>49</v>
      </c>
      <c r="D115" s="18" t="n">
        <v>1</v>
      </c>
      <c r="E115" s="18" t="n">
        <v>0.87</v>
      </c>
      <c r="F115" s="19" t="n">
        <f aca="false">IFERROR(E115/D115,1)</f>
        <v>0.87</v>
      </c>
      <c r="G115" s="20" t="n">
        <v>22.5</v>
      </c>
      <c r="H115" s="16" t="s">
        <v>294</v>
      </c>
      <c r="I115" s="16"/>
      <c r="J115" s="15"/>
    </row>
    <row r="116" customFormat="false" ht="15" hidden="false" customHeight="false" outlineLevel="0" collapsed="false">
      <c r="A116" s="15" t="s">
        <v>295</v>
      </c>
      <c r="B116" s="16" t="s">
        <v>296</v>
      </c>
      <c r="C116" s="17" t="s">
        <v>49</v>
      </c>
      <c r="D116" s="18" t="n">
        <v>1</v>
      </c>
      <c r="E116" s="18" t="n">
        <v>0.95</v>
      </c>
      <c r="F116" s="19" t="n">
        <f aca="false">IFERROR(E116/D116,1)</f>
        <v>0.95</v>
      </c>
      <c r="G116" s="20" t="n">
        <v>14</v>
      </c>
      <c r="H116" s="16"/>
      <c r="I116" s="16"/>
      <c r="J116" s="15"/>
    </row>
    <row r="117" customFormat="false" ht="15" hidden="false" customHeight="false" outlineLevel="0" collapsed="false">
      <c r="A117" s="15" t="s">
        <v>297</v>
      </c>
      <c r="B117" s="16" t="s">
        <v>298</v>
      </c>
      <c r="C117" s="17" t="s">
        <v>49</v>
      </c>
      <c r="D117" s="18" t="n">
        <v>1</v>
      </c>
      <c r="E117" s="18" t="n">
        <v>0.95</v>
      </c>
      <c r="F117" s="19" t="n">
        <f aca="false">IFERROR(E117/D117,1)</f>
        <v>0.95</v>
      </c>
      <c r="G117" s="20" t="n">
        <v>87.9</v>
      </c>
      <c r="H117" s="16" t="s">
        <v>299</v>
      </c>
      <c r="I117" s="16"/>
      <c r="J117" s="15"/>
    </row>
    <row r="118" customFormat="false" ht="15" hidden="false" customHeight="false" outlineLevel="0" collapsed="false">
      <c r="A118" s="15" t="s">
        <v>300</v>
      </c>
      <c r="B118" s="16" t="s">
        <v>301</v>
      </c>
      <c r="C118" s="17" t="s">
        <v>49</v>
      </c>
      <c r="D118" s="18" t="n">
        <v>1</v>
      </c>
      <c r="E118" s="18" t="n">
        <v>0.95</v>
      </c>
      <c r="F118" s="19" t="n">
        <f aca="false">IFERROR(E118/D118,1)</f>
        <v>0.95</v>
      </c>
      <c r="G118" s="20" t="n">
        <v>9</v>
      </c>
      <c r="H118" s="16" t="s">
        <v>100</v>
      </c>
      <c r="I118" s="16"/>
      <c r="J118" s="15"/>
    </row>
    <row r="119" customFormat="false" ht="15" hidden="false" customHeight="false" outlineLevel="0" collapsed="false">
      <c r="A119" s="15" t="s">
        <v>302</v>
      </c>
      <c r="B119" s="16" t="s">
        <v>303</v>
      </c>
      <c r="C119" s="17" t="s">
        <v>304</v>
      </c>
      <c r="D119" s="18" t="n">
        <v>1</v>
      </c>
      <c r="E119" s="18" t="n">
        <v>1</v>
      </c>
      <c r="F119" s="19" t="n">
        <f aca="false">IFERROR(E119/D119,1)</f>
        <v>1</v>
      </c>
      <c r="G119" s="20" t="n">
        <v>0.9532</v>
      </c>
      <c r="H119" s="16"/>
      <c r="I119" s="16"/>
      <c r="J119" s="15"/>
    </row>
    <row r="120" customFormat="false" ht="15" hidden="false" customHeight="false" outlineLevel="0" collapsed="false">
      <c r="A120" s="15" t="s">
        <v>305</v>
      </c>
      <c r="B120" s="16" t="s">
        <v>306</v>
      </c>
      <c r="C120" s="17" t="s">
        <v>49</v>
      </c>
      <c r="D120" s="18" t="n">
        <v>1</v>
      </c>
      <c r="E120" s="18" t="n">
        <v>0.98</v>
      </c>
      <c r="F120" s="19" t="n">
        <f aca="false">IFERROR(E120/D120,1)</f>
        <v>0.98</v>
      </c>
      <c r="G120" s="20" t="n">
        <v>14.0501</v>
      </c>
      <c r="H120" s="16"/>
      <c r="I120" s="16"/>
      <c r="J120" s="15"/>
    </row>
    <row r="121" customFormat="false" ht="15" hidden="false" customHeight="false" outlineLevel="0" collapsed="false">
      <c r="A121" s="15" t="s">
        <v>307</v>
      </c>
      <c r="B121" s="16" t="s">
        <v>308</v>
      </c>
      <c r="C121" s="17" t="s">
        <v>49</v>
      </c>
      <c r="D121" s="18" t="n">
        <v>1</v>
      </c>
      <c r="E121" s="18" t="n">
        <v>0.97</v>
      </c>
      <c r="F121" s="19" t="n">
        <f aca="false">IFERROR(E121/D121,1)</f>
        <v>0.97</v>
      </c>
      <c r="G121" s="20" t="n">
        <v>18.64</v>
      </c>
      <c r="H121" s="16"/>
      <c r="I121" s="16"/>
      <c r="J121" s="15"/>
    </row>
    <row r="122" customFormat="false" ht="15" hidden="false" customHeight="false" outlineLevel="0" collapsed="false">
      <c r="A122" s="15" t="s">
        <v>309</v>
      </c>
      <c r="B122" s="16" t="s">
        <v>310</v>
      </c>
      <c r="C122" s="17" t="s">
        <v>49</v>
      </c>
      <c r="D122" s="18" t="n">
        <v>1</v>
      </c>
      <c r="E122" s="18" t="n">
        <v>0.95</v>
      </c>
      <c r="F122" s="19" t="n">
        <f aca="false">IFERROR(E122/D122,1)</f>
        <v>0.95</v>
      </c>
      <c r="G122" s="20" t="n">
        <v>326</v>
      </c>
      <c r="H122" s="16" t="s">
        <v>283</v>
      </c>
      <c r="I122" s="16"/>
      <c r="J122" s="15"/>
    </row>
    <row r="123" customFormat="false" ht="15" hidden="false" customHeight="false" outlineLevel="0" collapsed="false">
      <c r="A123" s="15" t="s">
        <v>311</v>
      </c>
      <c r="B123" s="16" t="s">
        <v>312</v>
      </c>
      <c r="C123" s="17" t="s">
        <v>49</v>
      </c>
      <c r="D123" s="18" t="n">
        <v>1</v>
      </c>
      <c r="E123" s="18" t="n">
        <v>0.95</v>
      </c>
      <c r="F123" s="19" t="n">
        <f aca="false">IFERROR(E123/D123,1)</f>
        <v>0.95</v>
      </c>
      <c r="G123" s="20" t="n">
        <v>3.5</v>
      </c>
      <c r="H123" s="16"/>
      <c r="I123" s="16"/>
      <c r="J123" s="15"/>
    </row>
    <row r="124" customFormat="false" ht="15" hidden="false" customHeight="false" outlineLevel="0" collapsed="false">
      <c r="A124" s="15" t="s">
        <v>313</v>
      </c>
      <c r="B124" s="16" t="s">
        <v>314</v>
      </c>
      <c r="C124" s="17" t="s">
        <v>49</v>
      </c>
      <c r="D124" s="18" t="n">
        <v>1</v>
      </c>
      <c r="E124" s="18" t="n">
        <v>0.97</v>
      </c>
      <c r="F124" s="19" t="n">
        <f aca="false">IFERROR(E124/D124,1)</f>
        <v>0.97</v>
      </c>
      <c r="G124" s="20" t="n">
        <v>15</v>
      </c>
      <c r="H124" s="16"/>
      <c r="I124" s="16"/>
      <c r="J124" s="15"/>
    </row>
    <row r="125" customFormat="false" ht="15" hidden="false" customHeight="false" outlineLevel="0" collapsed="false">
      <c r="A125" s="15" t="s">
        <v>315</v>
      </c>
      <c r="B125" s="16" t="s">
        <v>316</v>
      </c>
      <c r="C125" s="17" t="s">
        <v>49</v>
      </c>
      <c r="D125" s="18" t="n">
        <v>0.2</v>
      </c>
      <c r="E125" s="18" t="n">
        <v>0.2</v>
      </c>
      <c r="F125" s="19" t="n">
        <f aca="false">IFERROR(E125/D125,1)</f>
        <v>1</v>
      </c>
      <c r="G125" s="20" t="n">
        <v>24.64</v>
      </c>
      <c r="H125" s="16"/>
      <c r="I125" s="16"/>
      <c r="J125" s="15"/>
    </row>
    <row r="126" customFormat="false" ht="15" hidden="false" customHeight="false" outlineLevel="0" collapsed="false">
      <c r="A126" s="15" t="s">
        <v>317</v>
      </c>
      <c r="B126" s="16" t="s">
        <v>318</v>
      </c>
      <c r="C126" s="17" t="s">
        <v>49</v>
      </c>
      <c r="D126" s="18" t="n">
        <v>1</v>
      </c>
      <c r="E126" s="18" t="n">
        <v>1</v>
      </c>
      <c r="F126" s="19" t="n">
        <f aca="false">IFERROR(E126/D126,1)</f>
        <v>1</v>
      </c>
      <c r="G126" s="20" t="n">
        <v>40</v>
      </c>
      <c r="H126" s="16"/>
      <c r="I126" s="16"/>
      <c r="J126" s="15"/>
    </row>
    <row r="127" customFormat="false" ht="15" hidden="false" customHeight="false" outlineLevel="0" collapsed="false">
      <c r="A127" s="15" t="s">
        <v>319</v>
      </c>
      <c r="B127" s="16" t="s">
        <v>320</v>
      </c>
      <c r="C127" s="17" t="s">
        <v>49</v>
      </c>
      <c r="D127" s="18" t="n">
        <v>1</v>
      </c>
      <c r="E127" s="18" t="n">
        <v>0.98</v>
      </c>
      <c r="F127" s="19" t="n">
        <f aca="false">IFERROR(E127/D127,1)</f>
        <v>0.98</v>
      </c>
      <c r="G127" s="20" t="n">
        <v>16.0746</v>
      </c>
      <c r="H127" s="16"/>
      <c r="I127" s="16"/>
      <c r="J127" s="15"/>
    </row>
    <row r="128" customFormat="false" ht="15" hidden="false" customHeight="false" outlineLevel="0" collapsed="false">
      <c r="A128" s="15" t="s">
        <v>321</v>
      </c>
      <c r="B128" s="16" t="s">
        <v>322</v>
      </c>
      <c r="C128" s="17" t="s">
        <v>49</v>
      </c>
      <c r="D128" s="18" t="n">
        <v>1</v>
      </c>
      <c r="E128" s="18" t="n">
        <v>0.98</v>
      </c>
      <c r="F128" s="19" t="n">
        <f aca="false">IFERROR(E128/D128,1)</f>
        <v>0.98</v>
      </c>
      <c r="G128" s="20" t="n">
        <v>11.3219</v>
      </c>
      <c r="H128" s="16"/>
      <c r="I128" s="16"/>
      <c r="J128" s="15"/>
    </row>
    <row r="129" customFormat="false" ht="15" hidden="false" customHeight="false" outlineLevel="0" collapsed="false">
      <c r="A129" s="15" t="s">
        <v>323</v>
      </c>
      <c r="B129" s="16" t="s">
        <v>324</v>
      </c>
      <c r="C129" s="17" t="s">
        <v>49</v>
      </c>
      <c r="D129" s="18" t="n">
        <v>1</v>
      </c>
      <c r="E129" s="18" t="n">
        <v>0.97</v>
      </c>
      <c r="F129" s="19" t="n">
        <f aca="false">IFERROR(E129/D129,1)</f>
        <v>0.97</v>
      </c>
      <c r="G129" s="20" t="n">
        <v>25</v>
      </c>
      <c r="H129" s="16"/>
      <c r="I129" s="16"/>
      <c r="J129" s="15"/>
    </row>
    <row r="130" customFormat="false" ht="15" hidden="false" customHeight="false" outlineLevel="0" collapsed="false">
      <c r="A130" s="15" t="s">
        <v>325</v>
      </c>
      <c r="B130" s="16" t="s">
        <v>326</v>
      </c>
      <c r="C130" s="17" t="s">
        <v>49</v>
      </c>
      <c r="D130" s="18" t="n">
        <v>1</v>
      </c>
      <c r="E130" s="18" t="n">
        <v>0.95</v>
      </c>
      <c r="F130" s="19" t="n">
        <f aca="false">IFERROR(E130/D130,1)</f>
        <v>0.95</v>
      </c>
      <c r="G130" s="20" t="n">
        <v>35</v>
      </c>
      <c r="H130" s="16" t="s">
        <v>100</v>
      </c>
      <c r="I130" s="16"/>
      <c r="J130" s="15"/>
    </row>
    <row r="131" customFormat="false" ht="15" hidden="false" customHeight="false" outlineLevel="0" collapsed="false">
      <c r="A131" s="15" t="s">
        <v>327</v>
      </c>
      <c r="B131" s="16" t="s">
        <v>328</v>
      </c>
      <c r="C131" s="17" t="s">
        <v>49</v>
      </c>
      <c r="D131" s="18" t="n">
        <v>1</v>
      </c>
      <c r="E131" s="18" t="n">
        <v>0.98</v>
      </c>
      <c r="F131" s="19" t="n">
        <f aca="false">IFERROR(E131/D131,1)</f>
        <v>0.98</v>
      </c>
      <c r="G131" s="20" t="n">
        <v>105</v>
      </c>
      <c r="H131" s="16" t="s">
        <v>329</v>
      </c>
      <c r="I131" s="16"/>
      <c r="J131" s="15"/>
    </row>
    <row r="132" customFormat="false" ht="15" hidden="false" customHeight="false" outlineLevel="0" collapsed="false">
      <c r="A132" s="15" t="s">
        <v>330</v>
      </c>
      <c r="B132" s="16" t="s">
        <v>331</v>
      </c>
      <c r="C132" s="17" t="s">
        <v>49</v>
      </c>
      <c r="D132" s="18" t="n">
        <v>1</v>
      </c>
      <c r="E132" s="18" t="n">
        <v>0.95</v>
      </c>
      <c r="F132" s="19" t="n">
        <f aca="false">IFERROR(E132/D132,1)</f>
        <v>0.95</v>
      </c>
      <c r="G132" s="20" t="n">
        <v>70</v>
      </c>
      <c r="H132" s="16"/>
      <c r="I132" s="16"/>
      <c r="J132" s="15"/>
    </row>
    <row r="133" customFormat="false" ht="15" hidden="false" customHeight="false" outlineLevel="0" collapsed="false">
      <c r="A133" s="15" t="s">
        <v>332</v>
      </c>
      <c r="B133" s="16" t="s">
        <v>333</v>
      </c>
      <c r="C133" s="17" t="s">
        <v>49</v>
      </c>
      <c r="D133" s="18" t="n">
        <v>1</v>
      </c>
      <c r="E133" s="18" t="n">
        <v>0.98</v>
      </c>
      <c r="F133" s="19" t="n">
        <f aca="false">IFERROR(E133/D133,1)</f>
        <v>0.98</v>
      </c>
      <c r="G133" s="20" t="n">
        <v>10</v>
      </c>
      <c r="H133" s="16"/>
      <c r="I133" s="16"/>
      <c r="J133" s="15"/>
    </row>
    <row r="134" customFormat="false" ht="15" hidden="false" customHeight="false" outlineLevel="0" collapsed="false">
      <c r="A134" s="15" t="s">
        <v>334</v>
      </c>
      <c r="B134" s="16" t="s">
        <v>335</v>
      </c>
      <c r="C134" s="17" t="s">
        <v>49</v>
      </c>
      <c r="D134" s="18" t="n">
        <v>1</v>
      </c>
      <c r="E134" s="18" t="n">
        <v>0.98</v>
      </c>
      <c r="F134" s="19" t="n">
        <f aca="false">IFERROR(E134/D134,1)</f>
        <v>0.98</v>
      </c>
      <c r="G134" s="20" t="n">
        <v>25</v>
      </c>
      <c r="H134" s="16"/>
      <c r="I134" s="16"/>
      <c r="J134" s="15"/>
    </row>
    <row r="135" customFormat="false" ht="15" hidden="false" customHeight="false" outlineLevel="0" collapsed="false">
      <c r="A135" s="15" t="s">
        <v>336</v>
      </c>
      <c r="B135" s="16" t="s">
        <v>337</v>
      </c>
      <c r="C135" s="17" t="s">
        <v>49</v>
      </c>
      <c r="D135" s="18" t="n">
        <v>1</v>
      </c>
      <c r="E135" s="18" t="n">
        <v>1</v>
      </c>
      <c r="F135" s="19" t="n">
        <f aca="false">IFERROR(E135/D135,1)</f>
        <v>1</v>
      </c>
      <c r="G135" s="20" t="n">
        <v>15</v>
      </c>
      <c r="H135" s="16" t="s">
        <v>132</v>
      </c>
      <c r="I135" s="16"/>
      <c r="J135" s="15"/>
    </row>
    <row r="136" customFormat="false" ht="15" hidden="false" customHeight="false" outlineLevel="0" collapsed="false">
      <c r="A136" s="15" t="s">
        <v>338</v>
      </c>
      <c r="B136" s="16" t="s">
        <v>339</v>
      </c>
      <c r="C136" s="17" t="s">
        <v>49</v>
      </c>
      <c r="D136" s="18" t="n">
        <v>1</v>
      </c>
      <c r="E136" s="18" t="n">
        <v>0.98</v>
      </c>
      <c r="F136" s="19" t="n">
        <f aca="false">IFERROR(E136/D136,1)</f>
        <v>0.98</v>
      </c>
      <c r="G136" s="20" t="n">
        <v>30</v>
      </c>
      <c r="H136" s="16"/>
      <c r="I136" s="16"/>
      <c r="J136" s="15"/>
    </row>
    <row r="137" customFormat="false" ht="15" hidden="false" customHeight="false" outlineLevel="0" collapsed="false">
      <c r="A137" s="15" t="s">
        <v>340</v>
      </c>
      <c r="B137" s="16" t="s">
        <v>341</v>
      </c>
      <c r="C137" s="17" t="s">
        <v>49</v>
      </c>
      <c r="D137" s="18" t="n">
        <v>1</v>
      </c>
      <c r="E137" s="18" t="n">
        <v>0.95</v>
      </c>
      <c r="F137" s="19" t="n">
        <f aca="false">IFERROR(E137/D137,1)</f>
        <v>0.95</v>
      </c>
      <c r="G137" s="20" t="n">
        <v>25.16</v>
      </c>
      <c r="H137" s="16"/>
      <c r="I137" s="16"/>
      <c r="J137" s="15"/>
    </row>
    <row r="138" customFormat="false" ht="15" hidden="false" customHeight="false" outlineLevel="0" collapsed="false">
      <c r="A138" s="15" t="s">
        <v>342</v>
      </c>
      <c r="B138" s="16" t="s">
        <v>343</v>
      </c>
      <c r="C138" s="17" t="s">
        <v>49</v>
      </c>
      <c r="D138" s="18" t="n">
        <v>1</v>
      </c>
      <c r="E138" s="18" t="n">
        <v>0.98</v>
      </c>
      <c r="F138" s="19" t="n">
        <f aca="false">IFERROR(E138/D138,1)</f>
        <v>0.98</v>
      </c>
      <c r="G138" s="20" t="n">
        <v>5</v>
      </c>
      <c r="H138" s="16" t="s">
        <v>108</v>
      </c>
      <c r="I138" s="16"/>
      <c r="J138" s="15"/>
    </row>
    <row r="139" customFormat="false" ht="15" hidden="false" customHeight="false" outlineLevel="0" collapsed="false">
      <c r="A139" s="15" t="s">
        <v>344</v>
      </c>
      <c r="B139" s="16" t="s">
        <v>345</v>
      </c>
      <c r="C139" s="17" t="s">
        <v>49</v>
      </c>
      <c r="D139" s="18" t="n">
        <v>1</v>
      </c>
      <c r="E139" s="18" t="n">
        <v>0.98</v>
      </c>
      <c r="F139" s="19" t="n">
        <f aca="false">IFERROR(E139/D139,1)</f>
        <v>0.98</v>
      </c>
      <c r="G139" s="20" t="n">
        <v>12</v>
      </c>
      <c r="H139" s="16" t="s">
        <v>108</v>
      </c>
      <c r="I139" s="16"/>
      <c r="J139" s="15"/>
    </row>
    <row r="140" customFormat="false" ht="15" hidden="false" customHeight="false" outlineLevel="0" collapsed="false">
      <c r="A140" s="15" t="s">
        <v>346</v>
      </c>
      <c r="B140" s="16" t="s">
        <v>347</v>
      </c>
      <c r="C140" s="17" t="s">
        <v>304</v>
      </c>
      <c r="D140" s="18" t="n">
        <v>1</v>
      </c>
      <c r="E140" s="18" t="n">
        <v>1</v>
      </c>
      <c r="F140" s="19" t="n">
        <f aca="false">IFERROR(E140/D140,1)</f>
        <v>1</v>
      </c>
      <c r="G140" s="20" t="n">
        <v>1.33</v>
      </c>
      <c r="H140" s="16" t="s">
        <v>348</v>
      </c>
      <c r="I140" s="16"/>
      <c r="J140" s="15"/>
    </row>
    <row r="141" customFormat="false" ht="15" hidden="false" customHeight="false" outlineLevel="0" collapsed="false">
      <c r="A141" s="15" t="s">
        <v>349</v>
      </c>
      <c r="B141" s="16" t="s">
        <v>350</v>
      </c>
      <c r="C141" s="17" t="s">
        <v>49</v>
      </c>
      <c r="D141" s="18" t="n">
        <v>1</v>
      </c>
      <c r="E141" s="18" t="n">
        <v>0.98</v>
      </c>
      <c r="F141" s="19" t="n">
        <f aca="false">IFERROR(E141/D141,1)</f>
        <v>0.98</v>
      </c>
      <c r="G141" s="20" t="n">
        <v>54.4</v>
      </c>
      <c r="H141" s="16" t="s">
        <v>125</v>
      </c>
      <c r="I141" s="16"/>
      <c r="J141" s="15"/>
    </row>
    <row r="142" customFormat="false" ht="15" hidden="false" customHeight="false" outlineLevel="0" collapsed="false">
      <c r="A142" s="15" t="s">
        <v>351</v>
      </c>
      <c r="B142" s="16" t="s">
        <v>352</v>
      </c>
      <c r="C142" s="17" t="s">
        <v>49</v>
      </c>
      <c r="D142" s="18" t="n">
        <v>1</v>
      </c>
      <c r="E142" s="18" t="n">
        <v>0.98</v>
      </c>
      <c r="F142" s="19" t="n">
        <f aca="false">IFERROR(E142/D142,1)</f>
        <v>0.98</v>
      </c>
      <c r="G142" s="20" t="n">
        <v>54.9</v>
      </c>
      <c r="H142" s="16" t="s">
        <v>149</v>
      </c>
      <c r="I142" s="16"/>
      <c r="J142" s="15"/>
    </row>
    <row r="143" customFormat="false" ht="15" hidden="false" customHeight="false" outlineLevel="0" collapsed="false">
      <c r="A143" s="15" t="s">
        <v>353</v>
      </c>
      <c r="B143" s="16" t="s">
        <v>354</v>
      </c>
      <c r="C143" s="17" t="s">
        <v>304</v>
      </c>
      <c r="D143" s="18" t="n">
        <v>1</v>
      </c>
      <c r="E143" s="18" t="n">
        <v>1</v>
      </c>
      <c r="F143" s="19" t="n">
        <f aca="false">IFERROR(E143/D143,1)</f>
        <v>1</v>
      </c>
      <c r="G143" s="20" t="n">
        <v>5</v>
      </c>
      <c r="H143" s="16"/>
      <c r="I143" s="16"/>
      <c r="J143" s="15"/>
    </row>
    <row r="144" customFormat="false" ht="15" hidden="false" customHeight="false" outlineLevel="0" collapsed="false">
      <c r="A144" s="15" t="s">
        <v>355</v>
      </c>
      <c r="B144" s="16" t="s">
        <v>356</v>
      </c>
      <c r="C144" s="17" t="s">
        <v>304</v>
      </c>
      <c r="D144" s="18" t="n">
        <v>1</v>
      </c>
      <c r="E144" s="18" t="n">
        <v>1</v>
      </c>
      <c r="F144" s="19" t="n">
        <f aca="false">IFERROR(E144/D144,1)</f>
        <v>1</v>
      </c>
      <c r="G144" s="20" t="n">
        <v>1.1125</v>
      </c>
      <c r="H144" s="16"/>
      <c r="I144" s="16"/>
      <c r="J144" s="15"/>
    </row>
    <row r="145" customFormat="false" ht="15" hidden="false" customHeight="false" outlineLevel="0" collapsed="false">
      <c r="A145" s="15" t="s">
        <v>357</v>
      </c>
      <c r="B145" s="16" t="s">
        <v>358</v>
      </c>
      <c r="C145" s="17" t="s">
        <v>49</v>
      </c>
      <c r="D145" s="18" t="n">
        <v>1</v>
      </c>
      <c r="E145" s="18" t="n">
        <v>0.95</v>
      </c>
      <c r="F145" s="19" t="n">
        <f aca="false">IFERROR(E145/D145,1)</f>
        <v>0.95</v>
      </c>
      <c r="G145" s="20" t="n">
        <v>30.5</v>
      </c>
      <c r="H145" s="16" t="s">
        <v>103</v>
      </c>
      <c r="I145" s="16"/>
      <c r="J145" s="15"/>
    </row>
    <row r="146" customFormat="false" ht="15" hidden="false" customHeight="false" outlineLevel="0" collapsed="false">
      <c r="A146" s="15" t="s">
        <v>359</v>
      </c>
      <c r="B146" s="16" t="s">
        <v>360</v>
      </c>
      <c r="C146" s="17" t="s">
        <v>49</v>
      </c>
      <c r="D146" s="18" t="n">
        <v>1</v>
      </c>
      <c r="E146" s="18" t="n">
        <v>0.95</v>
      </c>
      <c r="F146" s="19" t="n">
        <f aca="false">IFERROR(E146/D146,1)</f>
        <v>0.95</v>
      </c>
      <c r="G146" s="20" t="n">
        <v>30.5</v>
      </c>
      <c r="H146" s="16" t="s">
        <v>103</v>
      </c>
      <c r="I146" s="16"/>
      <c r="J146" s="15"/>
    </row>
    <row r="147" customFormat="false" ht="15" hidden="false" customHeight="false" outlineLevel="0" collapsed="false">
      <c r="A147" s="15" t="s">
        <v>361</v>
      </c>
      <c r="B147" s="16" t="s">
        <v>362</v>
      </c>
      <c r="C147" s="17" t="s">
        <v>49</v>
      </c>
      <c r="D147" s="18" t="n">
        <v>1</v>
      </c>
      <c r="E147" s="18" t="n">
        <v>1</v>
      </c>
      <c r="F147" s="19" t="n">
        <f aca="false">IFERROR(E147/D147,1)</f>
        <v>1</v>
      </c>
      <c r="G147" s="20" t="n">
        <v>60</v>
      </c>
      <c r="H147" s="16"/>
      <c r="I147" s="16"/>
      <c r="J147" s="15"/>
    </row>
    <row r="148" customFormat="false" ht="15" hidden="false" customHeight="false" outlineLevel="0" collapsed="false">
      <c r="A148" s="15" t="s">
        <v>363</v>
      </c>
      <c r="B148" s="16" t="s">
        <v>364</v>
      </c>
      <c r="C148" s="17" t="s">
        <v>49</v>
      </c>
      <c r="D148" s="18" t="n">
        <v>1</v>
      </c>
      <c r="E148" s="18" t="n">
        <v>0.98</v>
      </c>
      <c r="F148" s="19" t="n">
        <f aca="false">IFERROR(E148/D148,1)</f>
        <v>0.98</v>
      </c>
      <c r="G148" s="20" t="n">
        <v>35</v>
      </c>
      <c r="H148" s="16" t="s">
        <v>365</v>
      </c>
      <c r="I148" s="16"/>
      <c r="J148" s="15"/>
    </row>
    <row r="149" customFormat="false" ht="15" hidden="false" customHeight="false" outlineLevel="0" collapsed="false">
      <c r="A149" s="15" t="s">
        <v>366</v>
      </c>
      <c r="B149" s="16" t="s">
        <v>367</v>
      </c>
      <c r="C149" s="17" t="s">
        <v>49</v>
      </c>
      <c r="D149" s="18" t="n">
        <v>1</v>
      </c>
      <c r="E149" s="18" t="n">
        <v>0.98</v>
      </c>
      <c r="F149" s="19" t="n">
        <f aca="false">IFERROR(E149/D149,1)</f>
        <v>0.98</v>
      </c>
      <c r="G149" s="20" t="n">
        <v>5</v>
      </c>
      <c r="H149" s="16" t="s">
        <v>108</v>
      </c>
      <c r="I149" s="16"/>
      <c r="J149" s="15"/>
    </row>
    <row r="150" customFormat="false" ht="15" hidden="false" customHeight="false" outlineLevel="0" collapsed="false">
      <c r="A150" s="15" t="s">
        <v>368</v>
      </c>
      <c r="B150" s="16" t="s">
        <v>369</v>
      </c>
      <c r="C150" s="17" t="s">
        <v>49</v>
      </c>
      <c r="D150" s="18" t="n">
        <v>1</v>
      </c>
      <c r="E150" s="18" t="n">
        <v>0.98</v>
      </c>
      <c r="F150" s="19" t="n">
        <f aca="false">IFERROR(E150/D150,1)</f>
        <v>0.98</v>
      </c>
      <c r="G150" s="20" t="n">
        <v>3.73</v>
      </c>
      <c r="H150" s="16"/>
      <c r="I150" s="16"/>
      <c r="J150" s="15"/>
    </row>
    <row r="151" customFormat="false" ht="15" hidden="false" customHeight="false" outlineLevel="0" collapsed="false">
      <c r="A151" s="15" t="s">
        <v>370</v>
      </c>
      <c r="B151" s="16" t="s">
        <v>371</v>
      </c>
      <c r="C151" s="17" t="s">
        <v>49</v>
      </c>
      <c r="D151" s="18" t="n">
        <v>1</v>
      </c>
      <c r="E151" s="18" t="n">
        <v>0.83</v>
      </c>
      <c r="F151" s="19" t="n">
        <f aca="false">IFERROR(E151/D151,1)</f>
        <v>0.83</v>
      </c>
      <c r="G151" s="20" t="n">
        <v>22.5</v>
      </c>
      <c r="H151" s="16" t="s">
        <v>294</v>
      </c>
      <c r="I151" s="16"/>
      <c r="J151" s="15"/>
    </row>
    <row r="152" customFormat="false" ht="15" hidden="false" customHeight="false" outlineLevel="0" collapsed="false">
      <c r="A152" s="15" t="s">
        <v>372</v>
      </c>
      <c r="B152" s="16" t="s">
        <v>373</v>
      </c>
      <c r="C152" s="17" t="s">
        <v>49</v>
      </c>
      <c r="D152" s="18" t="n">
        <v>1</v>
      </c>
      <c r="E152" s="18" t="n">
        <v>0.9</v>
      </c>
      <c r="F152" s="19" t="n">
        <f aca="false">IFERROR(E152/D152,1)</f>
        <v>0.9</v>
      </c>
      <c r="G152" s="20" t="n">
        <v>24</v>
      </c>
      <c r="H152" s="16" t="s">
        <v>155</v>
      </c>
      <c r="I152" s="16"/>
      <c r="J152" s="15"/>
    </row>
    <row r="153" customFormat="false" ht="15" hidden="false" customHeight="false" outlineLevel="0" collapsed="false">
      <c r="A153" s="15" t="s">
        <v>374</v>
      </c>
      <c r="B153" s="16" t="s">
        <v>375</v>
      </c>
      <c r="C153" s="17" t="s">
        <v>49</v>
      </c>
      <c r="D153" s="18" t="n">
        <v>1</v>
      </c>
      <c r="E153" s="18" t="n">
        <v>0.98</v>
      </c>
      <c r="F153" s="19" t="n">
        <f aca="false">IFERROR(E153/D153,1)</f>
        <v>0.98</v>
      </c>
      <c r="G153" s="20" t="n">
        <v>78.9</v>
      </c>
      <c r="H153" s="16" t="s">
        <v>103</v>
      </c>
      <c r="I153" s="16"/>
      <c r="J153" s="15"/>
    </row>
    <row r="154" customFormat="false" ht="15" hidden="false" customHeight="false" outlineLevel="0" collapsed="false">
      <c r="A154" s="15" t="s">
        <v>376</v>
      </c>
      <c r="B154" s="16" t="s">
        <v>377</v>
      </c>
      <c r="C154" s="17" t="s">
        <v>49</v>
      </c>
      <c r="D154" s="18" t="n">
        <v>1</v>
      </c>
      <c r="E154" s="18" t="n">
        <v>0.98</v>
      </c>
      <c r="F154" s="19" t="n">
        <f aca="false">IFERROR(E154/D154,1)</f>
        <v>0.98</v>
      </c>
      <c r="G154" s="20" t="n">
        <v>34.06</v>
      </c>
      <c r="H154" s="16" t="s">
        <v>103</v>
      </c>
      <c r="I154" s="16"/>
      <c r="J154" s="15"/>
    </row>
    <row r="155" customFormat="false" ht="15" hidden="false" customHeight="false" outlineLevel="0" collapsed="false">
      <c r="A155" s="15" t="s">
        <v>378</v>
      </c>
      <c r="B155" s="16" t="s">
        <v>379</v>
      </c>
      <c r="C155" s="17" t="s">
        <v>49</v>
      </c>
      <c r="D155" s="18" t="n">
        <v>1</v>
      </c>
      <c r="E155" s="18" t="n">
        <v>0.98</v>
      </c>
      <c r="F155" s="19" t="n">
        <f aca="false">IFERROR(E155/D155,1)</f>
        <v>0.98</v>
      </c>
      <c r="G155" s="20" t="n">
        <v>18.36</v>
      </c>
      <c r="H155" s="16" t="s">
        <v>103</v>
      </c>
      <c r="I155" s="16"/>
      <c r="J155" s="15"/>
    </row>
    <row r="156" customFormat="false" ht="15" hidden="false" customHeight="false" outlineLevel="0" collapsed="false">
      <c r="A156" s="15" t="s">
        <v>380</v>
      </c>
      <c r="B156" s="16" t="s">
        <v>381</v>
      </c>
      <c r="C156" s="17" t="s">
        <v>60</v>
      </c>
      <c r="D156" s="18" t="n">
        <v>1</v>
      </c>
      <c r="E156" s="18" t="n">
        <v>1</v>
      </c>
      <c r="F156" s="19" t="n">
        <f aca="false">IFERROR(E156/D156,1)</f>
        <v>1</v>
      </c>
      <c r="G156" s="20" t="n">
        <v>30</v>
      </c>
      <c r="H156" s="16"/>
      <c r="I156" s="16"/>
      <c r="J156" s="15"/>
    </row>
    <row r="157" customFormat="false" ht="15" hidden="false" customHeight="false" outlineLevel="0" collapsed="false">
      <c r="A157" s="15" t="s">
        <v>382</v>
      </c>
      <c r="B157" s="16" t="s">
        <v>383</v>
      </c>
      <c r="C157" s="17" t="s">
        <v>60</v>
      </c>
      <c r="D157" s="18" t="n">
        <v>1</v>
      </c>
      <c r="E157" s="18" t="n">
        <v>0.98</v>
      </c>
      <c r="F157" s="19" t="n">
        <f aca="false">IFERROR(E157/D157,1)</f>
        <v>0.98</v>
      </c>
      <c r="G157" s="20" t="n">
        <v>9.9</v>
      </c>
      <c r="H157" s="16"/>
      <c r="I157" s="16"/>
      <c r="J157" s="15"/>
    </row>
    <row r="158" customFormat="false" ht="15" hidden="false" customHeight="false" outlineLevel="0" collapsed="false">
      <c r="A158" s="15" t="s">
        <v>384</v>
      </c>
      <c r="B158" s="16" t="s">
        <v>385</v>
      </c>
      <c r="C158" s="17" t="s">
        <v>49</v>
      </c>
      <c r="D158" s="18" t="n">
        <v>1</v>
      </c>
      <c r="E158" s="18" t="n">
        <v>0.98</v>
      </c>
      <c r="F158" s="19" t="n">
        <f aca="false">IFERROR(E158/D158,1)</f>
        <v>0.98</v>
      </c>
      <c r="G158" s="20" t="n">
        <v>25</v>
      </c>
      <c r="H158" s="16" t="s">
        <v>103</v>
      </c>
      <c r="I158" s="16"/>
      <c r="J158" s="15"/>
    </row>
    <row r="159" customFormat="false" ht="15" hidden="false" customHeight="false" outlineLevel="0" collapsed="false">
      <c r="A159" s="15" t="s">
        <v>386</v>
      </c>
      <c r="B159" s="16" t="s">
        <v>387</v>
      </c>
      <c r="C159" s="17" t="s">
        <v>49</v>
      </c>
      <c r="D159" s="18" t="n">
        <v>0.15</v>
      </c>
      <c r="E159" s="18" t="n">
        <v>0.22</v>
      </c>
      <c r="F159" s="19" t="n">
        <f aca="false">IFERROR(E159/D159,1)</f>
        <v>1.46666666666667</v>
      </c>
      <c r="G159" s="20" t="n">
        <v>25</v>
      </c>
      <c r="H159" s="16"/>
      <c r="I159" s="16"/>
      <c r="J159" s="15"/>
    </row>
    <row r="160" customFormat="false" ht="15" hidden="false" customHeight="false" outlineLevel="0" collapsed="false">
      <c r="A160" s="15" t="s">
        <v>388</v>
      </c>
      <c r="B160" s="16" t="s">
        <v>389</v>
      </c>
      <c r="C160" s="17" t="s">
        <v>49</v>
      </c>
      <c r="D160" s="18" t="n">
        <v>1</v>
      </c>
      <c r="E160" s="18" t="n">
        <v>0.95</v>
      </c>
      <c r="F160" s="19" t="n">
        <f aca="false">IFERROR(E160/D160,1)</f>
        <v>0.95</v>
      </c>
      <c r="G160" s="20" t="n">
        <v>20</v>
      </c>
      <c r="H160" s="16"/>
      <c r="I160" s="16"/>
      <c r="J160" s="15"/>
    </row>
    <row r="161" customFormat="false" ht="15" hidden="false" customHeight="false" outlineLevel="0" collapsed="false">
      <c r="A161" s="15" t="s">
        <v>390</v>
      </c>
      <c r="B161" s="16" t="s">
        <v>391</v>
      </c>
      <c r="C161" s="17" t="s">
        <v>49</v>
      </c>
      <c r="D161" s="18" t="n">
        <v>11.1</v>
      </c>
      <c r="E161" s="18" t="n">
        <v>8.44</v>
      </c>
      <c r="F161" s="19" t="n">
        <f aca="false">IFERROR(E161/D161,1)</f>
        <v>0.76036036036036</v>
      </c>
      <c r="G161" s="20" t="n">
        <v>8</v>
      </c>
      <c r="H161" s="16" t="s">
        <v>392</v>
      </c>
      <c r="I161" s="16"/>
      <c r="J161" s="15"/>
    </row>
    <row r="162" customFormat="false" ht="15" hidden="false" customHeight="false" outlineLevel="0" collapsed="false">
      <c r="A162" s="15" t="s">
        <v>393</v>
      </c>
      <c r="B162" s="16" t="s">
        <v>394</v>
      </c>
      <c r="C162" s="17" t="s">
        <v>49</v>
      </c>
      <c r="D162" s="18" t="n">
        <v>1</v>
      </c>
      <c r="E162" s="18" t="n">
        <v>1</v>
      </c>
      <c r="F162" s="19" t="n">
        <f aca="false">IFERROR(E162/D162,1)</f>
        <v>1</v>
      </c>
      <c r="G162" s="20" t="n">
        <v>6</v>
      </c>
      <c r="H162" s="16"/>
      <c r="I162" s="16"/>
      <c r="J162" s="15"/>
    </row>
    <row r="163" customFormat="false" ht="15" hidden="false" customHeight="false" outlineLevel="0" collapsed="false">
      <c r="A163" s="15" t="s">
        <v>395</v>
      </c>
      <c r="B163" s="16" t="s">
        <v>396</v>
      </c>
      <c r="C163" s="17" t="s">
        <v>49</v>
      </c>
      <c r="D163" s="18" t="n">
        <v>1</v>
      </c>
      <c r="E163" s="18" t="n">
        <v>0.95</v>
      </c>
      <c r="F163" s="19" t="n">
        <f aca="false">IFERROR(E163/D163,1)</f>
        <v>0.95</v>
      </c>
      <c r="G163" s="20" t="n">
        <v>20</v>
      </c>
      <c r="H163" s="16" t="s">
        <v>100</v>
      </c>
      <c r="I163" s="16"/>
      <c r="J163" s="15"/>
    </row>
    <row r="164" customFormat="false" ht="15" hidden="false" customHeight="false" outlineLevel="0" collapsed="false">
      <c r="A164" s="15" t="s">
        <v>397</v>
      </c>
      <c r="B164" s="16" t="s">
        <v>398</v>
      </c>
      <c r="C164" s="17" t="s">
        <v>49</v>
      </c>
      <c r="D164" s="18" t="n">
        <v>1</v>
      </c>
      <c r="E164" s="18" t="n">
        <v>1</v>
      </c>
      <c r="F164" s="19" t="n">
        <f aca="false">IFERROR(E164/D164,1)</f>
        <v>1</v>
      </c>
      <c r="G164" s="20" t="n">
        <v>37.55</v>
      </c>
      <c r="H164" s="16"/>
      <c r="I164" s="16"/>
      <c r="J164" s="15"/>
    </row>
    <row r="165" customFormat="false" ht="15" hidden="false" customHeight="false" outlineLevel="0" collapsed="false">
      <c r="A165" s="15" t="s">
        <v>399</v>
      </c>
      <c r="B165" s="16" t="s">
        <v>400</v>
      </c>
      <c r="C165" s="17" t="s">
        <v>49</v>
      </c>
      <c r="D165" s="18" t="n">
        <v>1</v>
      </c>
      <c r="E165" s="18" t="n">
        <v>0.98</v>
      </c>
      <c r="F165" s="19" t="n">
        <f aca="false">IFERROR(E165/D165,1)</f>
        <v>0.98</v>
      </c>
      <c r="G165" s="20" t="n">
        <v>59</v>
      </c>
      <c r="H165" s="16" t="s">
        <v>103</v>
      </c>
      <c r="I165" s="16"/>
      <c r="J165" s="15"/>
    </row>
    <row r="166" customFormat="false" ht="15" hidden="false" customHeight="false" outlineLevel="0" collapsed="false">
      <c r="A166" s="15" t="s">
        <v>401</v>
      </c>
      <c r="B166" s="16" t="s">
        <v>402</v>
      </c>
      <c r="C166" s="17" t="s">
        <v>49</v>
      </c>
      <c r="D166" s="18" t="n">
        <v>1</v>
      </c>
      <c r="E166" s="18" t="n">
        <v>0.05</v>
      </c>
      <c r="F166" s="19" t="n">
        <f aca="false">IFERROR(E166/D166,1)</f>
        <v>0.05</v>
      </c>
      <c r="G166" s="20" t="n">
        <v>4</v>
      </c>
      <c r="H166" s="16" t="s">
        <v>100</v>
      </c>
      <c r="I166" s="16"/>
      <c r="J166" s="15"/>
    </row>
    <row r="167" customFormat="false" ht="15" hidden="false" customHeight="false" outlineLevel="0" collapsed="false">
      <c r="A167" s="15" t="s">
        <v>403</v>
      </c>
      <c r="B167" s="16" t="s">
        <v>404</v>
      </c>
      <c r="C167" s="17" t="s">
        <v>49</v>
      </c>
      <c r="D167" s="18" t="n">
        <v>1</v>
      </c>
      <c r="E167" s="18" t="n">
        <v>0.98</v>
      </c>
      <c r="F167" s="19" t="n">
        <f aca="false">IFERROR(E167/D167,1)</f>
        <v>0.98</v>
      </c>
      <c r="G167" s="20" t="n">
        <v>1.5</v>
      </c>
      <c r="H167" s="16"/>
      <c r="I167" s="16"/>
      <c r="J167" s="15"/>
    </row>
    <row r="168" customFormat="false" ht="15" hidden="false" customHeight="false" outlineLevel="0" collapsed="false">
      <c r="A168" s="15" t="s">
        <v>405</v>
      </c>
      <c r="B168" s="16" t="s">
        <v>406</v>
      </c>
      <c r="C168" s="17" t="s">
        <v>49</v>
      </c>
      <c r="D168" s="18" t="n">
        <v>1</v>
      </c>
      <c r="E168" s="18" t="n">
        <v>0.98</v>
      </c>
      <c r="F168" s="19" t="n">
        <f aca="false">IFERROR(E168/D168,1)</f>
        <v>0.98</v>
      </c>
      <c r="G168" s="20" t="n">
        <v>45</v>
      </c>
      <c r="H168" s="16" t="s">
        <v>283</v>
      </c>
      <c r="I168" s="16"/>
      <c r="J168" s="15"/>
    </row>
    <row r="170" customFormat="false" ht="15" hidden="false" customHeight="false" outlineLevel="0" collapsed="false">
      <c r="B170" s="21" t="s">
        <v>407</v>
      </c>
    </row>
  </sheetData>
  <dataValidations count="2">
    <dataValidation allowBlank="true" errorStyle="stop" operator="between" showDropDown="false" showErrorMessage="false" showInputMessage="false" sqref="C4:C228" type="list">
      <formula1>Listas!$B$4:$B$6</formula1>
      <formula2>0</formula2>
    </dataValidation>
    <dataValidation allowBlank="true" errorStyle="stop" operator="between" showDropDown="false" showErrorMessage="false" showInputMessage="false" sqref="H4:H228" type="list">
      <formula1>Listas!$C$4:$C$29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18"/>
    <col collapsed="false" customWidth="true" hidden="false" outlineLevel="0" max="5" min="4" style="0" width="12"/>
    <col collapsed="false" customWidth="true" hidden="false" outlineLevel="0" max="6" min="6" style="0" width="13"/>
    <col collapsed="false" customWidth="true" hidden="false" outlineLevel="0" max="7" min="7" style="0" width="9"/>
    <col collapsed="false" customWidth="true" hidden="false" outlineLevel="0" max="8" min="8" style="0" width="13"/>
    <col collapsed="false" customWidth="true" hidden="false" outlineLevel="0" max="9" min="9" style="0" width="11"/>
    <col collapsed="false" customWidth="true" hidden="false" outlineLevel="0" max="13" min="10" style="0" width="13"/>
    <col collapsed="false" customWidth="true" hidden="false" outlineLevel="0" max="14" min="14" style="0" width="11"/>
    <col collapsed="false" customWidth="true" hidden="false" outlineLevel="0" max="15" min="15" style="0" width="14"/>
    <col collapsed="false" customWidth="true" hidden="false" outlineLevel="0" max="16" min="16" style="0" width="12"/>
  </cols>
  <sheetData>
    <row r="1" customFormat="false" ht="21.75" hidden="false" customHeight="true" outlineLevel="0" collapsed="false">
      <c r="A1" s="5" t="s">
        <v>408</v>
      </c>
    </row>
    <row r="2" customFormat="false" ht="15" hidden="false" customHeight="false" outlineLevel="0" collapsed="false">
      <c r="A2" s="6" t="s">
        <v>409</v>
      </c>
    </row>
    <row r="3" customFormat="false" ht="30" hidden="false" customHeight="true" outlineLevel="0" collapsed="false">
      <c r="A3" s="7" t="s">
        <v>37</v>
      </c>
      <c r="B3" s="7" t="s">
        <v>38</v>
      </c>
      <c r="C3" s="7" t="s">
        <v>410</v>
      </c>
      <c r="D3" s="7" t="s">
        <v>411</v>
      </c>
      <c r="E3" s="7" t="s">
        <v>412</v>
      </c>
      <c r="F3" s="7" t="s">
        <v>413</v>
      </c>
      <c r="G3" s="7" t="s">
        <v>414</v>
      </c>
      <c r="H3" s="7" t="s">
        <v>415</v>
      </c>
      <c r="I3" s="7" t="s">
        <v>416</v>
      </c>
      <c r="J3" s="7" t="s">
        <v>417</v>
      </c>
      <c r="K3" s="7" t="s">
        <v>418</v>
      </c>
      <c r="L3" s="7" t="s">
        <v>419</v>
      </c>
      <c r="M3" s="7" t="s">
        <v>420</v>
      </c>
      <c r="N3" s="7" t="s">
        <v>421</v>
      </c>
      <c r="O3" s="7" t="s">
        <v>422</v>
      </c>
      <c r="P3" s="7" t="s">
        <v>423</v>
      </c>
    </row>
    <row r="4" customFormat="false" ht="15" hidden="false" customHeight="false" outlineLevel="0" collapsed="false">
      <c r="A4" s="15" t="s">
        <v>424</v>
      </c>
      <c r="B4" s="22" t="s">
        <v>425</v>
      </c>
      <c r="C4" s="16" t="s">
        <v>426</v>
      </c>
      <c r="D4" s="23" t="n">
        <v>9</v>
      </c>
      <c r="E4" s="18"/>
      <c r="F4" s="16" t="s">
        <v>427</v>
      </c>
      <c r="G4" s="17" t="s">
        <v>428</v>
      </c>
      <c r="H4" s="24" t="n">
        <v>18</v>
      </c>
      <c r="I4" s="25" t="n">
        <v>0.3</v>
      </c>
      <c r="J4" s="26" t="n">
        <f aca="false">SUM(Ingredientes!$I$4:$I$10)</f>
        <v>48.4936468192217</v>
      </c>
      <c r="K4" s="26" t="n">
        <f aca="false">IFERROR(J4/D4,0)</f>
        <v>5.38818297991353</v>
      </c>
      <c r="L4" s="26" t="n">
        <f aca="false">IFERROR(K4/I4,0)</f>
        <v>17.9606099330451</v>
      </c>
      <c r="M4" s="27" t="n">
        <f aca="false">IFERROR(J4/IF(E4&gt;0,E4,SUM(Ingredientes!$E$4:$E$10)),0)</f>
        <v>13.8950277418973</v>
      </c>
      <c r="N4" s="28" t="n">
        <f aca="false">IFERROR(K4/H4,0)</f>
        <v>0.299343498884085</v>
      </c>
      <c r="O4" s="26" t="n">
        <v>5.3232</v>
      </c>
      <c r="P4" s="26" t="n">
        <f aca="false">IFERROR(K4-O4,0)</f>
        <v>0.0649829799135269</v>
      </c>
    </row>
    <row r="5" customFormat="false" ht="15" hidden="false" customHeight="false" outlineLevel="0" collapsed="false">
      <c r="A5" s="15" t="s">
        <v>429</v>
      </c>
      <c r="B5" s="22" t="s">
        <v>430</v>
      </c>
      <c r="C5" s="16" t="s">
        <v>426</v>
      </c>
      <c r="D5" s="23" t="n">
        <v>9</v>
      </c>
      <c r="E5" s="18"/>
      <c r="F5" s="16" t="s">
        <v>427</v>
      </c>
      <c r="G5" s="17" t="s">
        <v>428</v>
      </c>
      <c r="H5" s="24" t="n">
        <v>18</v>
      </c>
      <c r="I5" s="25" t="n">
        <v>0.3</v>
      </c>
      <c r="J5" s="26" t="n">
        <f aca="false">SUM(Ingredientes!$I$11:$I$17)</f>
        <v>48.0739024023608</v>
      </c>
      <c r="K5" s="26" t="n">
        <f aca="false">IFERROR(J5/D5,0)</f>
        <v>5.34154471137343</v>
      </c>
      <c r="L5" s="26" t="n">
        <f aca="false">IFERROR(K5/I5,0)</f>
        <v>17.8051490379114</v>
      </c>
      <c r="M5" s="27" t="n">
        <f aca="false">IFERROR(J5/IF(E5&gt;0,E5,SUM(Ingredientes!$E$11:$E$17)),0)</f>
        <v>13.7747571353469</v>
      </c>
      <c r="N5" s="28" t="n">
        <f aca="false">IFERROR(K5/H5,0)</f>
        <v>0.29675248396519</v>
      </c>
      <c r="O5" s="26" t="n">
        <v>5.2765</v>
      </c>
      <c r="P5" s="26" t="n">
        <f aca="false">IFERROR(K5-O5,0)</f>
        <v>0.0650447113734263</v>
      </c>
    </row>
    <row r="6" customFormat="false" ht="15" hidden="false" customHeight="false" outlineLevel="0" collapsed="false">
      <c r="A6" s="15" t="s">
        <v>431</v>
      </c>
      <c r="B6" s="22" t="s">
        <v>432</v>
      </c>
      <c r="C6" s="16" t="s">
        <v>426</v>
      </c>
      <c r="D6" s="23" t="n">
        <v>9</v>
      </c>
      <c r="E6" s="18"/>
      <c r="F6" s="16" t="s">
        <v>427</v>
      </c>
      <c r="G6" s="17" t="s">
        <v>428</v>
      </c>
      <c r="H6" s="24" t="n">
        <v>18</v>
      </c>
      <c r="I6" s="25" t="n">
        <v>0.34</v>
      </c>
      <c r="J6" s="26" t="n">
        <f aca="false">SUM(Ingredientes!$I$18:$I$27)</f>
        <v>55.5154836197637</v>
      </c>
      <c r="K6" s="26" t="n">
        <f aca="false">IFERROR(J6/D6,0)</f>
        <v>6.16838706886263</v>
      </c>
      <c r="L6" s="26" t="n">
        <f aca="false">IFERROR(K6/I6,0)</f>
        <v>18.1423149084195</v>
      </c>
      <c r="M6" s="27" t="n">
        <f aca="false">IFERROR(J6/IF(E6&gt;0,E6,SUM(Ingredientes!$E$18:$E$27)),0)</f>
        <v>15.9070153638291</v>
      </c>
      <c r="N6" s="28" t="n">
        <f aca="false">IFERROR(K6/H6,0)</f>
        <v>0.342688170492369</v>
      </c>
      <c r="O6" s="26" t="n">
        <v>6.1034</v>
      </c>
      <c r="P6" s="26" t="n">
        <f aca="false">IFERROR(K6-O6,0)</f>
        <v>0.0649870688626333</v>
      </c>
    </row>
    <row r="7" customFormat="false" ht="15" hidden="false" customHeight="false" outlineLevel="0" collapsed="false">
      <c r="A7" s="15" t="s">
        <v>433</v>
      </c>
      <c r="B7" s="22" t="s">
        <v>434</v>
      </c>
      <c r="C7" s="16" t="s">
        <v>435</v>
      </c>
      <c r="D7" s="23" t="n">
        <v>19</v>
      </c>
      <c r="E7" s="18"/>
      <c r="F7" s="16" t="s">
        <v>436</v>
      </c>
      <c r="G7" s="17" t="s">
        <v>428</v>
      </c>
      <c r="H7" s="24" t="n">
        <v>20</v>
      </c>
      <c r="I7" s="25" t="n">
        <v>0.17</v>
      </c>
      <c r="J7" s="26" t="n">
        <f aca="false">SUM(Ingredientes!$I$28:$I$32)</f>
        <v>68.5875634793758</v>
      </c>
      <c r="K7" s="26" t="n">
        <f aca="false">IFERROR(J7/D7,0)</f>
        <v>3.60987176207241</v>
      </c>
      <c r="L7" s="26" t="n">
        <f aca="false">IFERROR(K7/I7,0)</f>
        <v>21.2345397768965</v>
      </c>
      <c r="M7" s="27" t="n">
        <f aca="false">IFERROR(J7/IF(E7&gt;0,E7,SUM(Ingredientes!$E$28:$E$32)),0)</f>
        <v>19.3804926474642</v>
      </c>
      <c r="N7" s="28" t="n">
        <f aca="false">IFERROR(K7/H7,0)</f>
        <v>0.180493588103621</v>
      </c>
      <c r="O7" s="26" t="n">
        <v>3.5749</v>
      </c>
      <c r="P7" s="26" t="n">
        <f aca="false">IFERROR(K7-O7,0)</f>
        <v>0.0349717620724115</v>
      </c>
    </row>
    <row r="8" customFormat="false" ht="15" hidden="false" customHeight="false" outlineLevel="0" collapsed="false">
      <c r="A8" s="15" t="s">
        <v>437</v>
      </c>
      <c r="B8" s="22" t="s">
        <v>438</v>
      </c>
      <c r="C8" s="16" t="s">
        <v>439</v>
      </c>
      <c r="D8" s="23" t="n">
        <v>3</v>
      </c>
      <c r="E8" s="18"/>
      <c r="F8" s="16" t="s">
        <v>436</v>
      </c>
      <c r="G8" s="17" t="s">
        <v>428</v>
      </c>
      <c r="H8" s="24" t="n">
        <v>12</v>
      </c>
      <c r="I8" s="25" t="n">
        <v>0.2</v>
      </c>
      <c r="J8" s="26" t="n">
        <f aca="false">SUM(Ingredientes!$I$33:$I$45)</f>
        <v>7.33800053705693</v>
      </c>
      <c r="K8" s="26" t="n">
        <f aca="false">IFERROR(J8/D8,0)</f>
        <v>2.44600017901898</v>
      </c>
      <c r="L8" s="26" t="n">
        <f aca="false">IFERROR(K8/I8,0)</f>
        <v>12.2300008950949</v>
      </c>
      <c r="M8" s="27" t="n">
        <f aca="false">IFERROR(J8/IF(E8&gt;0,E8,SUM(Ingredientes!$E$33:$E$45)),0)</f>
        <v>14.6906917658797</v>
      </c>
      <c r="N8" s="28" t="n">
        <f aca="false">IFERROR(K8/H8,0)</f>
        <v>0.203833348251581</v>
      </c>
      <c r="O8" s="26" t="n">
        <v>2.446</v>
      </c>
      <c r="P8" s="26" t="n">
        <f aca="false">IFERROR(K8-O8,0)</f>
        <v>1.79018976087519E-007</v>
      </c>
    </row>
    <row r="9" customFormat="false" ht="15" hidden="false" customHeight="false" outlineLevel="0" collapsed="false">
      <c r="A9" s="15" t="s">
        <v>440</v>
      </c>
      <c r="B9" s="22" t="s">
        <v>441</v>
      </c>
      <c r="C9" s="16" t="s">
        <v>439</v>
      </c>
      <c r="D9" s="23" t="n">
        <v>15</v>
      </c>
      <c r="E9" s="18"/>
      <c r="F9" s="16" t="s">
        <v>427</v>
      </c>
      <c r="G9" s="17" t="s">
        <v>428</v>
      </c>
      <c r="H9" s="24" t="n">
        <v>18</v>
      </c>
      <c r="I9" s="25" t="n">
        <v>0.35</v>
      </c>
      <c r="J9" s="26" t="n">
        <f aca="false">SUM(Ingredientes!$I$46:$I$47)</f>
        <v>91.0236000033799</v>
      </c>
      <c r="K9" s="26" t="n">
        <f aca="false">IFERROR(J9/D9,0)</f>
        <v>6.06824000022533</v>
      </c>
      <c r="L9" s="26" t="n">
        <f aca="false">IFERROR(K9/I9,0)</f>
        <v>17.3378285720724</v>
      </c>
      <c r="M9" s="27" t="n">
        <f aca="false">IFERROR(J9/IF(E9&gt;0,E9,SUM(Ingredientes!$E$46:$E$47)),0)</f>
        <v>35.5560937513203</v>
      </c>
      <c r="N9" s="28" t="n">
        <f aca="false">IFERROR(K9/H9,0)</f>
        <v>0.337124444456963</v>
      </c>
      <c r="O9" s="26" t="n">
        <v>6.1932</v>
      </c>
      <c r="P9" s="26" t="n">
        <f aca="false">IFERROR(K9-O9,0)</f>
        <v>-0.124959999774671</v>
      </c>
    </row>
    <row r="10" customFormat="false" ht="15" hidden="false" customHeight="false" outlineLevel="0" collapsed="false">
      <c r="A10" s="15" t="s">
        <v>442</v>
      </c>
      <c r="B10" s="22" t="s">
        <v>443</v>
      </c>
      <c r="C10" s="16" t="s">
        <v>444</v>
      </c>
      <c r="D10" s="23" t="n">
        <v>9</v>
      </c>
      <c r="E10" s="18"/>
      <c r="F10" s="16" t="s">
        <v>436</v>
      </c>
      <c r="G10" s="17" t="s">
        <v>428</v>
      </c>
      <c r="H10" s="24" t="n">
        <v>3</v>
      </c>
      <c r="I10" s="25" t="n">
        <v>0.2</v>
      </c>
      <c r="J10" s="26" t="n">
        <f aca="false">SUM(Ingredientes!$I$48:$I$56)</f>
        <v>5.32330488721805</v>
      </c>
      <c r="K10" s="26" t="n">
        <f aca="false">IFERROR(J10/D10,0)</f>
        <v>0.591478320802005</v>
      </c>
      <c r="L10" s="26" t="n">
        <f aca="false">IFERROR(K10/I10,0)</f>
        <v>2.95739160401003</v>
      </c>
      <c r="M10" s="27" t="n">
        <f aca="false">IFERROR(J10/IF(E10&gt;0,E10,SUM(Ingredientes!$E$48:$E$56)),0)</f>
        <v>13.4767212334634</v>
      </c>
      <c r="N10" s="28" t="n">
        <f aca="false">IFERROR(K10/H10,0)</f>
        <v>0.197159440267335</v>
      </c>
      <c r="O10" s="26" t="n">
        <v>0.5915</v>
      </c>
      <c r="P10" s="26" t="n">
        <f aca="false">IFERROR(K10-O10,0)</f>
        <v>-2.16791979948949E-005</v>
      </c>
    </row>
    <row r="11" customFormat="false" ht="15" hidden="false" customHeight="false" outlineLevel="0" collapsed="false">
      <c r="A11" s="15" t="s">
        <v>445</v>
      </c>
      <c r="B11" s="22" t="s">
        <v>446</v>
      </c>
      <c r="C11" s="16" t="s">
        <v>447</v>
      </c>
      <c r="D11" s="23" t="n">
        <v>16</v>
      </c>
      <c r="E11" s="18"/>
      <c r="F11" s="16" t="s">
        <v>448</v>
      </c>
      <c r="G11" s="17" t="s">
        <v>428</v>
      </c>
      <c r="H11" s="24" t="n">
        <v>12</v>
      </c>
      <c r="I11" s="25" t="n">
        <v>0.17</v>
      </c>
      <c r="J11" s="26" t="n">
        <f aca="false">SUM(Ingredientes!$I$57:$I$64)</f>
        <v>30.9930361618332</v>
      </c>
      <c r="K11" s="26" t="n">
        <f aca="false">IFERROR(J11/D11,0)</f>
        <v>1.93706476011457</v>
      </c>
      <c r="L11" s="26" t="n">
        <f aca="false">IFERROR(K11/I11,0)</f>
        <v>11.3944985889092</v>
      </c>
      <c r="M11" s="27" t="n">
        <f aca="false">IFERROR(J11/IF(E11&gt;0,E11,SUM(Ingredientes!$E$57:$E$64)),0)</f>
        <v>12.7386091910535</v>
      </c>
      <c r="N11" s="28" t="n">
        <f aca="false">IFERROR(K11/H11,0)</f>
        <v>0.161422063342881</v>
      </c>
      <c r="O11" s="26" t="n">
        <v>1.9371</v>
      </c>
      <c r="P11" s="26" t="n">
        <f aca="false">IFERROR(K11-O11,0)</f>
        <v>-3.52398854277514E-005</v>
      </c>
    </row>
    <row r="12" customFormat="false" ht="15" hidden="false" customHeight="false" outlineLevel="0" collapsed="false">
      <c r="A12" s="15" t="s">
        <v>449</v>
      </c>
      <c r="B12" s="22" t="s">
        <v>450</v>
      </c>
      <c r="C12" s="16" t="s">
        <v>439</v>
      </c>
      <c r="D12" s="23" t="n">
        <v>10</v>
      </c>
      <c r="E12" s="18"/>
      <c r="F12" s="16" t="s">
        <v>427</v>
      </c>
      <c r="G12" s="17" t="s">
        <v>428</v>
      </c>
      <c r="H12" s="24" t="n">
        <v>17</v>
      </c>
      <c r="I12" s="25" t="n">
        <v>0.24</v>
      </c>
      <c r="J12" s="26" t="n">
        <f aca="false">SUM(Ingredientes!$I$65:$I$68)</f>
        <v>40.6202233376858</v>
      </c>
      <c r="K12" s="26" t="n">
        <f aca="false">IFERROR(J12/D12,0)</f>
        <v>4.06202233376858</v>
      </c>
      <c r="L12" s="26" t="n">
        <f aca="false">IFERROR(K12/I12,0)</f>
        <v>16.9250930573691</v>
      </c>
      <c r="M12" s="27" t="n">
        <f aca="false">IFERROR(J12/IF(E12&gt;0,E12,SUM(Ingredientes!$E$65:$E$68)),0)</f>
        <v>25.3876395860536</v>
      </c>
      <c r="N12" s="28" t="n">
        <f aca="false">IFERROR(K12/H12,0)</f>
        <v>0.238942490221681</v>
      </c>
      <c r="O12" s="26" t="n">
        <v>3.9601</v>
      </c>
      <c r="P12" s="26" t="n">
        <f aca="false">IFERROR(K12-O12,0)</f>
        <v>0.10192233376858</v>
      </c>
    </row>
    <row r="13" customFormat="false" ht="15" hidden="false" customHeight="false" outlineLevel="0" collapsed="false">
      <c r="A13" s="15" t="s">
        <v>451</v>
      </c>
      <c r="B13" s="22" t="s">
        <v>452</v>
      </c>
      <c r="C13" s="16" t="s">
        <v>439</v>
      </c>
      <c r="D13" s="23" t="n">
        <v>10</v>
      </c>
      <c r="E13" s="18"/>
      <c r="F13" s="16" t="s">
        <v>427</v>
      </c>
      <c r="G13" s="17" t="s">
        <v>428</v>
      </c>
      <c r="H13" s="24" t="n">
        <v>17</v>
      </c>
      <c r="I13" s="25" t="n">
        <v>0.24</v>
      </c>
      <c r="J13" s="26" t="n">
        <f aca="false">SUM(Ingredientes!$I$69:$I$72)</f>
        <v>39.2146517951151</v>
      </c>
      <c r="K13" s="26" t="n">
        <f aca="false">IFERROR(J13/D13,0)</f>
        <v>3.92146517951151</v>
      </c>
      <c r="L13" s="26" t="n">
        <f aca="false">IFERROR(K13/I13,0)</f>
        <v>16.3394382479646</v>
      </c>
      <c r="M13" s="27" t="n">
        <f aca="false">IFERROR(J13/IF(E13&gt;0,E13,SUM(Ingredientes!$E$69:$E$72)),0)</f>
        <v>24.5091573719469</v>
      </c>
      <c r="N13" s="28" t="n">
        <f aca="false">IFERROR(K13/H13,0)</f>
        <v>0.230674422324206</v>
      </c>
      <c r="O13" s="26" t="n">
        <v>3.923</v>
      </c>
      <c r="P13" s="26" t="n">
        <f aca="false">IFERROR(K13-O13,0)</f>
        <v>-0.00153482048849174</v>
      </c>
    </row>
    <row r="14" customFormat="false" ht="15" hidden="false" customHeight="false" outlineLevel="0" collapsed="false">
      <c r="A14" s="15" t="s">
        <v>453</v>
      </c>
      <c r="B14" s="22" t="s">
        <v>454</v>
      </c>
      <c r="C14" s="16" t="s">
        <v>447</v>
      </c>
      <c r="D14" s="23" t="n">
        <v>1</v>
      </c>
      <c r="E14" s="18"/>
      <c r="F14" s="16" t="s">
        <v>455</v>
      </c>
      <c r="G14" s="17" t="s">
        <v>428</v>
      </c>
      <c r="H14" s="24" t="n">
        <v>17</v>
      </c>
      <c r="I14" s="25" t="n">
        <v>0.2</v>
      </c>
      <c r="J14" s="26" t="n">
        <f aca="false">SUM(Ingredientes!$I$73:$I$77)</f>
        <v>3.34999759547143</v>
      </c>
      <c r="K14" s="26" t="n">
        <f aca="false">IFERROR(J14/D14,0)</f>
        <v>3.34999759547143</v>
      </c>
      <c r="L14" s="26" t="n">
        <f aca="false">IFERROR(K14/I14,0)</f>
        <v>16.7499879773571</v>
      </c>
      <c r="M14" s="27" t="n">
        <f aca="false">IFERROR(J14/IF(E14&gt;0,E14,SUM(Ingredientes!$E$73:$E$77)),0)</f>
        <v>3.05935853467711</v>
      </c>
      <c r="N14" s="28" t="n">
        <f aca="false">IFERROR(K14/H14,0)</f>
        <v>0.197058682086555</v>
      </c>
      <c r="O14" s="26" t="n">
        <v>3.3114</v>
      </c>
      <c r="P14" s="26" t="n">
        <f aca="false">IFERROR(K14-O14,0)</f>
        <v>0.0385975954714297</v>
      </c>
    </row>
    <row r="15" customFormat="false" ht="15" hidden="false" customHeight="false" outlineLevel="0" collapsed="false">
      <c r="A15" s="15" t="s">
        <v>456</v>
      </c>
      <c r="B15" s="22" t="s">
        <v>457</v>
      </c>
      <c r="C15" s="16" t="s">
        <v>439</v>
      </c>
      <c r="D15" s="23" t="n">
        <v>7</v>
      </c>
      <c r="E15" s="18"/>
      <c r="F15" s="16" t="s">
        <v>458</v>
      </c>
      <c r="G15" s="17" t="s">
        <v>428</v>
      </c>
      <c r="H15" s="24" t="n">
        <v>15</v>
      </c>
      <c r="I15" s="25" t="n">
        <v>0.2</v>
      </c>
      <c r="J15" s="26" t="n">
        <f aca="false">SUM(Ingredientes!$I$78:$I$85)</f>
        <v>20.4860572525281</v>
      </c>
      <c r="K15" s="26" t="n">
        <f aca="false">IFERROR(J15/D15,0)</f>
        <v>2.92657960750402</v>
      </c>
      <c r="L15" s="26" t="n">
        <f aca="false">IFERROR(K15/I15,0)</f>
        <v>14.6328980375201</v>
      </c>
      <c r="M15" s="27" t="n">
        <f aca="false">IFERROR(J15/IF(E15&gt;0,E15,SUM(Ingredientes!$E$78:$E$85)),0)</f>
        <v>19.6981319735847</v>
      </c>
      <c r="N15" s="28" t="n">
        <f aca="false">IFERROR(K15/H15,0)</f>
        <v>0.195105307166935</v>
      </c>
      <c r="O15" s="26" t="n">
        <v>2.8823</v>
      </c>
      <c r="P15" s="26" t="n">
        <f aca="false">IFERROR(K15-O15,0)</f>
        <v>0.0442796075040186</v>
      </c>
    </row>
    <row r="16" customFormat="false" ht="15" hidden="false" customHeight="false" outlineLevel="0" collapsed="false">
      <c r="A16" s="15" t="s">
        <v>459</v>
      </c>
      <c r="B16" s="15" t="s">
        <v>460</v>
      </c>
      <c r="C16" s="16" t="s">
        <v>461</v>
      </c>
      <c r="D16" s="23" t="n">
        <v>1</v>
      </c>
      <c r="E16" s="18"/>
      <c r="F16" s="16" t="s">
        <v>462</v>
      </c>
      <c r="G16" s="17" t="s">
        <v>463</v>
      </c>
      <c r="H16" s="24"/>
      <c r="I16" s="25"/>
      <c r="J16" s="26" t="n">
        <f aca="false">SUM(Ingredientes!$I$86:$I$90)</f>
        <v>2.35831138907176</v>
      </c>
      <c r="K16" s="26" t="n">
        <f aca="false">IFERROR(J16/D16,0)</f>
        <v>2.35831138907176</v>
      </c>
      <c r="L16" s="26" t="n">
        <f aca="false">IFERROR(K16/I16,0)</f>
        <v>0</v>
      </c>
      <c r="M16" s="27" t="n">
        <f aca="false">IFERROR(J16/IF(E16&gt;0,E16,SUM(Ingredientes!$E$86:$E$90)),0)</f>
        <v>10.4350061463352</v>
      </c>
      <c r="N16" s="28" t="n">
        <f aca="false">IFERROR(K16/H16,0)</f>
        <v>0</v>
      </c>
      <c r="O16" s="26" t="n">
        <v>2.3583</v>
      </c>
      <c r="P16" s="26" t="n">
        <f aca="false">IFERROR(K16-O16,0)</f>
        <v>1.13890717581278E-005</v>
      </c>
    </row>
    <row r="17" customFormat="false" ht="15" hidden="false" customHeight="false" outlineLevel="0" collapsed="false">
      <c r="A17" s="15" t="s">
        <v>47</v>
      </c>
      <c r="B17" s="15" t="s">
        <v>464</v>
      </c>
      <c r="C17" s="16" t="s">
        <v>426</v>
      </c>
      <c r="D17" s="23" t="n">
        <v>1</v>
      </c>
      <c r="E17" s="18" t="n">
        <v>0.6217</v>
      </c>
      <c r="F17" s="16" t="s">
        <v>427</v>
      </c>
      <c r="G17" s="17" t="s">
        <v>463</v>
      </c>
      <c r="H17" s="24"/>
      <c r="I17" s="25"/>
      <c r="J17" s="26" t="n">
        <f aca="false">SUM(Ingredientes!$I$91:$I$94)</f>
        <v>17.1974489795918</v>
      </c>
      <c r="K17" s="26" t="n">
        <f aca="false">IFERROR(J17/D17,0)</f>
        <v>17.1974489795918</v>
      </c>
      <c r="L17" s="26" t="n">
        <f aca="false">IFERROR(K17/I17,0)</f>
        <v>0</v>
      </c>
      <c r="M17" s="27" t="n">
        <f aca="false">IFERROR(J17/IF(E17&gt;0,E17,SUM(Ingredientes!$E$91:$E$94)),0)</f>
        <v>27.661973587891</v>
      </c>
      <c r="N17" s="28" t="n">
        <f aca="false">IFERROR(K17/H17,0)</f>
        <v>0</v>
      </c>
      <c r="O17" s="26" t="n">
        <v>17.1974</v>
      </c>
      <c r="P17" s="26" t="n">
        <f aca="false">IFERROR(K17-O17,0)</f>
        <v>4.89795918419134E-005</v>
      </c>
    </row>
    <row r="18" customFormat="false" ht="15" hidden="false" customHeight="false" outlineLevel="0" collapsed="false">
      <c r="A18" s="15" t="s">
        <v>465</v>
      </c>
      <c r="B18" s="15" t="s">
        <v>466</v>
      </c>
      <c r="C18" s="16" t="s">
        <v>435</v>
      </c>
      <c r="D18" s="23" t="n">
        <v>25</v>
      </c>
      <c r="E18" s="18"/>
      <c r="F18" s="16" t="s">
        <v>458</v>
      </c>
      <c r="G18" s="17" t="s">
        <v>463</v>
      </c>
      <c r="H18" s="24"/>
      <c r="I18" s="25"/>
      <c r="J18" s="26" t="n">
        <f aca="false">SUM(Ingredientes!$I$95:$I$99)</f>
        <v>9.5413411924858</v>
      </c>
      <c r="K18" s="26" t="n">
        <f aca="false">IFERROR(J18/D18,0)</f>
        <v>0.381653647699432</v>
      </c>
      <c r="L18" s="26" t="n">
        <f aca="false">IFERROR(K18/I18,0)</f>
        <v>0</v>
      </c>
      <c r="M18" s="27" t="n">
        <f aca="false">IFERROR(J18/IF(E18&gt;0,E18,SUM(Ingredientes!$E$95:$E$99)),0)</f>
        <v>11.4955917981757</v>
      </c>
      <c r="N18" s="28" t="n">
        <f aca="false">IFERROR(K18/H18,0)</f>
        <v>0</v>
      </c>
      <c r="O18" s="26" t="n">
        <v>0.3827</v>
      </c>
      <c r="P18" s="26" t="n">
        <f aca="false">IFERROR(K18-O18,0)</f>
        <v>-0.00104635230056788</v>
      </c>
    </row>
    <row r="19" customFormat="false" ht="15" hidden="false" customHeight="false" outlineLevel="0" collapsed="false">
      <c r="A19" s="15" t="s">
        <v>467</v>
      </c>
      <c r="B19" s="15" t="s">
        <v>468</v>
      </c>
      <c r="C19" s="16" t="s">
        <v>435</v>
      </c>
      <c r="D19" s="23" t="n">
        <v>10</v>
      </c>
      <c r="E19" s="18"/>
      <c r="F19" s="16" t="s">
        <v>436</v>
      </c>
      <c r="G19" s="17" t="s">
        <v>463</v>
      </c>
      <c r="H19" s="24"/>
      <c r="I19" s="25"/>
      <c r="J19" s="26" t="n">
        <f aca="false">SUM(Ingredientes!$I$100:$I$107)</f>
        <v>31.5170181569438</v>
      </c>
      <c r="K19" s="26" t="n">
        <f aca="false">IFERROR(J19/D19,0)</f>
        <v>3.15170181569438</v>
      </c>
      <c r="L19" s="26" t="n">
        <f aca="false">IFERROR(K19/I19,0)</f>
        <v>0</v>
      </c>
      <c r="M19" s="27" t="n">
        <f aca="false">IFERROR(J19/IF(E19&gt;0,E19,SUM(Ingredientes!$E$100:$E$107)),0)</f>
        <v>21.947784231855</v>
      </c>
      <c r="N19" s="28" t="n">
        <f aca="false">IFERROR(K19/H19,0)</f>
        <v>0</v>
      </c>
      <c r="O19" s="26" t="n">
        <v>3.0867</v>
      </c>
      <c r="P19" s="26" t="n">
        <f aca="false">IFERROR(K19-O19,0)</f>
        <v>0.0650018156943801</v>
      </c>
    </row>
    <row r="20" customFormat="false" ht="15" hidden="false" customHeight="false" outlineLevel="0" collapsed="false">
      <c r="A20" s="15" t="s">
        <v>469</v>
      </c>
      <c r="B20" s="15" t="s">
        <v>468</v>
      </c>
      <c r="C20" s="16" t="s">
        <v>435</v>
      </c>
      <c r="D20" s="23" t="n">
        <v>47</v>
      </c>
      <c r="E20" s="18"/>
      <c r="F20" s="16" t="s">
        <v>436</v>
      </c>
      <c r="G20" s="17" t="s">
        <v>463</v>
      </c>
      <c r="H20" s="24"/>
      <c r="I20" s="25"/>
      <c r="J20" s="26" t="n">
        <f aca="false">SUM(Ingredientes!$I$108:$I$117)</f>
        <v>45.8607602432158</v>
      </c>
      <c r="K20" s="26" t="n">
        <f aca="false">IFERROR(J20/D20,0)</f>
        <v>0.975760856238634</v>
      </c>
      <c r="L20" s="26" t="n">
        <f aca="false">IFERROR(K20/I20,0)</f>
        <v>0</v>
      </c>
      <c r="M20" s="27" t="n">
        <f aca="false">IFERROR(J20/IF(E20&gt;0,E20,SUM(Ingredientes!$E$108:$E$117)),0)</f>
        <v>35.3863890765554</v>
      </c>
      <c r="N20" s="28" t="n">
        <f aca="false">IFERROR(K20/H20,0)</f>
        <v>0</v>
      </c>
      <c r="O20" s="26" t="n">
        <v>0.9758</v>
      </c>
      <c r="P20" s="26" t="n">
        <f aca="false">IFERROR(K20-O20,0)</f>
        <v>-3.91437613656009E-005</v>
      </c>
    </row>
    <row r="21" customFormat="false" ht="15" hidden="false" customHeight="false" outlineLevel="0" collapsed="false">
      <c r="A21" s="15" t="s">
        <v>470</v>
      </c>
      <c r="B21" s="15" t="s">
        <v>471</v>
      </c>
      <c r="C21" s="16" t="s">
        <v>439</v>
      </c>
      <c r="D21" s="23" t="n">
        <v>1</v>
      </c>
      <c r="E21" s="18"/>
      <c r="F21" s="16" t="s">
        <v>427</v>
      </c>
      <c r="G21" s="17" t="s">
        <v>463</v>
      </c>
      <c r="H21" s="24"/>
      <c r="I21" s="25"/>
      <c r="J21" s="26" t="n">
        <f aca="false">SUM(Ingredientes!$I$118:$I$119)</f>
        <v>1.94867593664703</v>
      </c>
      <c r="K21" s="26" t="n">
        <f aca="false">IFERROR(J21/D21,0)</f>
        <v>1.94867593664703</v>
      </c>
      <c r="L21" s="26" t="n">
        <f aca="false">IFERROR(K21/I21,0)</f>
        <v>0</v>
      </c>
      <c r="M21" s="27" t="n">
        <f aca="false">IFERROR(J21/IF(E21&gt;0,E21,SUM(Ingredientes!$E$118:$E$119)),0)</f>
        <v>32.4779322774504</v>
      </c>
      <c r="N21" s="28" t="n">
        <f aca="false">IFERROR(K21/H21,0)</f>
        <v>0</v>
      </c>
      <c r="O21" s="26" t="n">
        <v>1.36</v>
      </c>
      <c r="P21" s="26" t="n">
        <f aca="false">IFERROR(K21-O21,0)</f>
        <v>0.588675936647026</v>
      </c>
    </row>
    <row r="22" customFormat="false" ht="15" hidden="false" customHeight="false" outlineLevel="0" collapsed="false">
      <c r="A22" s="15" t="s">
        <v>472</v>
      </c>
      <c r="B22" s="15" t="s">
        <v>473</v>
      </c>
      <c r="C22" s="16" t="s">
        <v>439</v>
      </c>
      <c r="D22" s="23" t="n">
        <v>1</v>
      </c>
      <c r="E22" s="18"/>
      <c r="F22" s="16" t="s">
        <v>436</v>
      </c>
      <c r="G22" s="17" t="s">
        <v>463</v>
      </c>
      <c r="H22" s="24"/>
      <c r="I22" s="25"/>
      <c r="J22" s="26" t="n">
        <f aca="false">SUM(Ingredientes!$I$120:$I$121)</f>
        <v>0.423117117093698</v>
      </c>
      <c r="K22" s="26" t="n">
        <f aca="false">IFERROR(J22/D22,0)</f>
        <v>0.423117117093698</v>
      </c>
      <c r="L22" s="26" t="n">
        <f aca="false">IFERROR(K22/I22,0)</f>
        <v>0</v>
      </c>
      <c r="M22" s="27" t="n">
        <f aca="false">IFERROR(J22/IF(E22&gt;0,E22,SUM(Ingredientes!$E$120:$E$121)),0)</f>
        <v>14.1039039031233</v>
      </c>
      <c r="N22" s="28" t="n">
        <f aca="false">IFERROR(K22/H22,0)</f>
        <v>0</v>
      </c>
      <c r="O22" s="26" t="n">
        <v>0.1421</v>
      </c>
      <c r="P22" s="26" t="n">
        <f aca="false">IFERROR(K22-O22,0)</f>
        <v>0.281017117093698</v>
      </c>
    </row>
    <row r="23" customFormat="false" ht="15" hidden="false" customHeight="false" outlineLevel="0" collapsed="false">
      <c r="A23" s="15" t="s">
        <v>474</v>
      </c>
      <c r="B23" s="15" t="s">
        <v>475</v>
      </c>
      <c r="C23" s="16" t="s">
        <v>439</v>
      </c>
      <c r="D23" s="23" t="n">
        <v>25</v>
      </c>
      <c r="E23" s="18"/>
      <c r="F23" s="16" t="s">
        <v>458</v>
      </c>
      <c r="G23" s="17" t="s">
        <v>463</v>
      </c>
      <c r="H23" s="24"/>
      <c r="I23" s="25"/>
      <c r="J23" s="26" t="n">
        <f aca="false">SUM(Ingredientes!$I$122:$I$123)</f>
        <v>22.1684183673469</v>
      </c>
      <c r="K23" s="26" t="n">
        <f aca="false">IFERROR(J23/D23,0)</f>
        <v>0.886736734693878</v>
      </c>
      <c r="L23" s="26" t="n">
        <f aca="false">IFERROR(K23/I23,0)</f>
        <v>0</v>
      </c>
      <c r="M23" s="27" t="n">
        <f aca="false">IFERROR(J23/IF(E23&gt;0,E23,SUM(Ingredientes!$E$122:$E$123)),0)</f>
        <v>29.5578911564626</v>
      </c>
      <c r="N23" s="28" t="n">
        <f aca="false">IFERROR(K23/H23,0)</f>
        <v>0</v>
      </c>
      <c r="O23" s="26" t="n">
        <v>0.899</v>
      </c>
      <c r="P23" s="26" t="n">
        <f aca="false">IFERROR(K23-O23,0)</f>
        <v>-0.0122632653061225</v>
      </c>
    </row>
    <row r="24" customFormat="false" ht="15" hidden="false" customHeight="false" outlineLevel="0" collapsed="false">
      <c r="A24" s="15" t="s">
        <v>476</v>
      </c>
      <c r="B24" s="15" t="s">
        <v>477</v>
      </c>
      <c r="C24" s="16" t="s">
        <v>439</v>
      </c>
      <c r="D24" s="23" t="n">
        <v>25</v>
      </c>
      <c r="E24" s="18"/>
      <c r="F24" s="16" t="s">
        <v>458</v>
      </c>
      <c r="G24" s="17" t="s">
        <v>463</v>
      </c>
      <c r="H24" s="24"/>
      <c r="I24" s="25"/>
      <c r="J24" s="26" t="n">
        <f aca="false">SUM(Ingredientes!$I$124:$I$125)</f>
        <v>15.8898962729045</v>
      </c>
      <c r="K24" s="26" t="n">
        <f aca="false">IFERROR(J24/D24,0)</f>
        <v>0.635595850916179</v>
      </c>
      <c r="L24" s="26" t="n">
        <f aca="false">IFERROR(K24/I24,0)</f>
        <v>0</v>
      </c>
      <c r="M24" s="27" t="n">
        <f aca="false">IFERROR(J24/IF(E24&gt;0,E24,SUM(Ingredientes!$E$124:$E$125)),0)</f>
        <v>21.1865283638726</v>
      </c>
      <c r="N24" s="28" t="n">
        <f aca="false">IFERROR(K24/H24,0)</f>
        <v>0</v>
      </c>
      <c r="O24" s="26" t="n">
        <v>0.6267</v>
      </c>
      <c r="P24" s="26" t="n">
        <f aca="false">IFERROR(K24-O24,0)</f>
        <v>0.00889585091617895</v>
      </c>
    </row>
    <row r="25" customFormat="false" ht="15" hidden="false" customHeight="false" outlineLevel="0" collapsed="false">
      <c r="A25" s="15" t="s">
        <v>478</v>
      </c>
      <c r="B25" s="15" t="s">
        <v>479</v>
      </c>
      <c r="C25" s="16" t="s">
        <v>480</v>
      </c>
      <c r="D25" s="23" t="n">
        <v>10</v>
      </c>
      <c r="E25" s="18"/>
      <c r="F25" s="16" t="s">
        <v>427</v>
      </c>
      <c r="G25" s="17" t="s">
        <v>463</v>
      </c>
      <c r="H25" s="24"/>
      <c r="I25" s="25"/>
      <c r="J25" s="26" t="n">
        <f aca="false">SUM(Ingredientes!$I$126:$I$128)</f>
        <v>122.045078750497</v>
      </c>
      <c r="K25" s="26" t="n">
        <f aca="false">IFERROR(J25/D25,0)</f>
        <v>12.2045078750497</v>
      </c>
      <c r="L25" s="26" t="n">
        <f aca="false">IFERROR(K25/I25,0)</f>
        <v>0</v>
      </c>
      <c r="M25" s="27" t="n">
        <f aca="false">IFERROR(J25/IF(E25&gt;0,E25,SUM(Ingredientes!$E$126:$E$128)),0)</f>
        <v>34.8700225001419</v>
      </c>
      <c r="N25" s="28" t="n">
        <f aca="false">IFERROR(K25/H25,0)</f>
        <v>0</v>
      </c>
      <c r="O25" s="26" t="n">
        <v>12.4247</v>
      </c>
      <c r="P25" s="26" t="n">
        <f aca="false">IFERROR(K25-O25,0)</f>
        <v>-0.22019212495035</v>
      </c>
    </row>
    <row r="26" customFormat="false" ht="15" hidden="false" customHeight="false" outlineLevel="0" collapsed="false">
      <c r="A26" s="15" t="s">
        <v>481</v>
      </c>
      <c r="B26" s="15" t="s">
        <v>479</v>
      </c>
      <c r="C26" s="16" t="s">
        <v>480</v>
      </c>
      <c r="D26" s="23" t="n">
        <v>10</v>
      </c>
      <c r="E26" s="18"/>
      <c r="F26" s="16" t="s">
        <v>427</v>
      </c>
      <c r="G26" s="17" t="s">
        <v>463</v>
      </c>
      <c r="H26" s="24"/>
      <c r="I26" s="25"/>
      <c r="J26" s="26" t="n">
        <f aca="false">SUM(Ingredientes!$I$129:$I$131)</f>
        <v>84.3739461838417</v>
      </c>
      <c r="K26" s="26" t="n">
        <f aca="false">IFERROR(J26/D26,0)</f>
        <v>8.43739461838417</v>
      </c>
      <c r="L26" s="26" t="n">
        <f aca="false">IFERROR(K26/I26,0)</f>
        <v>0</v>
      </c>
      <c r="M26" s="27" t="n">
        <f aca="false">IFERROR(J26/IF(E26&gt;0,E26,SUM(Ingredientes!$E$129:$E$131)),0)</f>
        <v>24.1068417668119</v>
      </c>
      <c r="N26" s="28" t="n">
        <f aca="false">IFERROR(K26/H26,0)</f>
        <v>0</v>
      </c>
      <c r="O26" s="26" t="n">
        <v>8.3411</v>
      </c>
      <c r="P26" s="26" t="n">
        <f aca="false">IFERROR(K26-O26,0)</f>
        <v>0.0962946183841709</v>
      </c>
    </row>
    <row r="27" customFormat="false" ht="15" hidden="false" customHeight="false" outlineLevel="0" collapsed="false">
      <c r="A27" s="15" t="s">
        <v>482</v>
      </c>
      <c r="B27" s="15" t="s">
        <v>483</v>
      </c>
      <c r="C27" s="16" t="s">
        <v>447</v>
      </c>
      <c r="D27" s="23" t="n">
        <v>1</v>
      </c>
      <c r="E27" s="18"/>
      <c r="F27" s="16" t="s">
        <v>436</v>
      </c>
      <c r="G27" s="17" t="s">
        <v>463</v>
      </c>
      <c r="H27" s="24"/>
      <c r="I27" s="25"/>
      <c r="J27" s="26" t="n">
        <f aca="false">SUM(Ingredientes!$I$132:$I$144)</f>
        <v>6.75844146079485</v>
      </c>
      <c r="K27" s="26" t="n">
        <f aca="false">IFERROR(J27/D27,0)</f>
        <v>6.75844146079485</v>
      </c>
      <c r="L27" s="26" t="n">
        <f aca="false">IFERROR(K27/I27,0)</f>
        <v>0</v>
      </c>
      <c r="M27" s="27" t="n">
        <f aca="false">IFERROR(J27/IF(E27&gt;0,E27,SUM(Ingredientes!$E$132:$E$144)),0)</f>
        <v>11.9618432934422</v>
      </c>
      <c r="N27" s="28" t="n">
        <f aca="false">IFERROR(K27/H27,0)</f>
        <v>0</v>
      </c>
      <c r="O27" s="26" t="n">
        <v>6.7584</v>
      </c>
      <c r="P27" s="26" t="n">
        <f aca="false">IFERROR(K27-O27,0)</f>
        <v>4.14607948453494E-005</v>
      </c>
    </row>
    <row r="28" customFormat="false" ht="15" hidden="false" customHeight="false" outlineLevel="0" collapsed="false">
      <c r="A28" s="15" t="s">
        <v>54</v>
      </c>
      <c r="B28" s="15" t="s">
        <v>55</v>
      </c>
      <c r="C28" s="16" t="s">
        <v>444</v>
      </c>
      <c r="D28" s="23" t="n">
        <v>2</v>
      </c>
      <c r="E28" s="18" t="n">
        <v>2</v>
      </c>
      <c r="F28" s="16" t="s">
        <v>455</v>
      </c>
      <c r="G28" s="17" t="s">
        <v>463</v>
      </c>
      <c r="H28" s="24"/>
      <c r="I28" s="25"/>
      <c r="J28" s="26" t="n">
        <f aca="false">SUM(Ingredientes!$I$145:$I$152)</f>
        <v>45.8058867406612</v>
      </c>
      <c r="K28" s="26" t="n">
        <f aca="false">IFERROR(J28/D28,0)</f>
        <v>22.9029433703306</v>
      </c>
      <c r="L28" s="26" t="n">
        <f aca="false">IFERROR(K28/I28,0)</f>
        <v>0</v>
      </c>
      <c r="M28" s="27" t="n">
        <f aca="false">IFERROR(J28/IF(E28&gt;0,E28,SUM(Ingredientes!$E$145:$E$152)),0)</f>
        <v>22.9029433703306</v>
      </c>
      <c r="N28" s="28" t="n">
        <f aca="false">IFERROR(K28/H28,0)</f>
        <v>0</v>
      </c>
      <c r="O28" s="26" t="n">
        <v>22.2528</v>
      </c>
      <c r="P28" s="26" t="n">
        <f aca="false">IFERROR(K28-O28,0)</f>
        <v>0.650143370330589</v>
      </c>
    </row>
    <row r="29" customFormat="false" ht="15" hidden="false" customHeight="false" outlineLevel="0" collapsed="false">
      <c r="A29" s="15" t="s">
        <v>484</v>
      </c>
      <c r="B29" s="15" t="s">
        <v>57</v>
      </c>
      <c r="C29" s="16" t="s">
        <v>444</v>
      </c>
      <c r="D29" s="23" t="n">
        <v>1</v>
      </c>
      <c r="E29" s="18" t="n">
        <v>1.5692</v>
      </c>
      <c r="F29" s="16" t="s">
        <v>455</v>
      </c>
      <c r="G29" s="17" t="s">
        <v>463</v>
      </c>
      <c r="H29" s="24"/>
      <c r="I29" s="25"/>
      <c r="J29" s="26" t="n">
        <f aca="false">SUM(Ingredientes!$I$153:$I$154)</f>
        <v>54.7429725176035</v>
      </c>
      <c r="K29" s="26" t="n">
        <f aca="false">IFERROR(J29/D29,0)</f>
        <v>54.7429725176035</v>
      </c>
      <c r="L29" s="26" t="n">
        <f aca="false">IFERROR(K29/I29,0)</f>
        <v>0</v>
      </c>
      <c r="M29" s="27" t="n">
        <f aca="false">IFERROR(J29/IF(E29&gt;0,E29,SUM(Ingredientes!$E$153:$E$154)),0)</f>
        <v>34.8859116222301</v>
      </c>
      <c r="N29" s="28" t="n">
        <f aca="false">IFERROR(K29/H29,0)</f>
        <v>0</v>
      </c>
      <c r="O29" s="26" t="n">
        <v>53.353</v>
      </c>
      <c r="P29" s="26" t="n">
        <f aca="false">IFERROR(K29-O29,0)</f>
        <v>1.38997251760353</v>
      </c>
    </row>
    <row r="30" customFormat="false" ht="15" hidden="false" customHeight="false" outlineLevel="0" collapsed="false">
      <c r="A30" s="15" t="s">
        <v>485</v>
      </c>
      <c r="B30" s="15" t="s">
        <v>486</v>
      </c>
      <c r="C30" s="16" t="s">
        <v>444</v>
      </c>
      <c r="D30" s="23" t="n">
        <v>10</v>
      </c>
      <c r="E30" s="18"/>
      <c r="F30" s="16" t="s">
        <v>427</v>
      </c>
      <c r="G30" s="17" t="s">
        <v>463</v>
      </c>
      <c r="H30" s="24"/>
      <c r="I30" s="25"/>
      <c r="J30" s="26" t="n">
        <f aca="false">SUM(Ingredientes!$I$155:$I$160)</f>
        <v>45.4651193959413</v>
      </c>
      <c r="K30" s="26" t="n">
        <f aca="false">IFERROR(J30/D30,0)</f>
        <v>4.54651193959413</v>
      </c>
      <c r="L30" s="26" t="n">
        <f aca="false">IFERROR(K30/I30,0)</f>
        <v>0</v>
      </c>
      <c r="M30" s="27" t="n">
        <f aca="false">IFERROR(J30/IF(E30&gt;0,E30,SUM(Ingredientes!$E$155:$E$160)),0)</f>
        <v>16.7767968250706</v>
      </c>
      <c r="N30" s="28" t="n">
        <f aca="false">IFERROR(K30/H30,0)</f>
        <v>0</v>
      </c>
      <c r="O30" s="26" t="n">
        <v>4.5831</v>
      </c>
      <c r="P30" s="26" t="n">
        <f aca="false">IFERROR(K30-O30,0)</f>
        <v>-0.0365880604058715</v>
      </c>
    </row>
    <row r="31" customFormat="false" ht="15" hidden="false" customHeight="false" outlineLevel="0" collapsed="false">
      <c r="A31" s="15" t="s">
        <v>487</v>
      </c>
      <c r="B31" s="15" t="s">
        <v>488</v>
      </c>
      <c r="C31" s="16" t="s">
        <v>439</v>
      </c>
      <c r="D31" s="23" t="n">
        <v>4</v>
      </c>
      <c r="E31" s="18"/>
      <c r="F31" s="16" t="s">
        <v>455</v>
      </c>
      <c r="G31" s="17" t="s">
        <v>463</v>
      </c>
      <c r="H31" s="24"/>
      <c r="I31" s="25"/>
      <c r="J31" s="26" t="n">
        <f aca="false">SUM(Ingredientes!$I$161:$I$169)</f>
        <v>39.8063748657358</v>
      </c>
      <c r="K31" s="26" t="n">
        <f aca="false">IFERROR(J31/D31,0)</f>
        <v>9.95159371643394</v>
      </c>
      <c r="L31" s="26" t="n">
        <f aca="false">IFERROR(K31/I31,0)</f>
        <v>0</v>
      </c>
      <c r="M31" s="27" t="n">
        <f aca="false">IFERROR(J31/IF(E31&gt;0,E31,SUM(Ingredientes!$E$161:$E$169)),0)</f>
        <v>39.8063748657358</v>
      </c>
      <c r="N31" s="28" t="n">
        <f aca="false">IFERROR(K31/H31,0)</f>
        <v>0</v>
      </c>
      <c r="O31" s="26" t="n">
        <v>9.9516</v>
      </c>
      <c r="P31" s="26" t="n">
        <f aca="false">IFERROR(K31-O31,0)</f>
        <v>-6.28356605680835E-006</v>
      </c>
    </row>
    <row r="32" customFormat="false" ht="15" hidden="false" customHeight="false" outlineLevel="0" collapsed="false">
      <c r="A32" s="15" t="s">
        <v>489</v>
      </c>
      <c r="B32" s="15" t="s">
        <v>488</v>
      </c>
      <c r="C32" s="16" t="s">
        <v>439</v>
      </c>
      <c r="D32" s="23" t="n">
        <v>25</v>
      </c>
      <c r="E32" s="18"/>
      <c r="F32" s="16" t="s">
        <v>455</v>
      </c>
      <c r="G32" s="17" t="s">
        <v>463</v>
      </c>
      <c r="H32" s="24"/>
      <c r="I32" s="25"/>
      <c r="J32" s="26" t="n">
        <f aca="false">SUM(Ingredientes!$I$170:$I$178)</f>
        <v>39.8063748657358</v>
      </c>
      <c r="K32" s="26" t="n">
        <f aca="false">IFERROR(J32/D32,0)</f>
        <v>1.59225499462943</v>
      </c>
      <c r="L32" s="26" t="n">
        <f aca="false">IFERROR(K32/I32,0)</f>
        <v>0</v>
      </c>
      <c r="M32" s="27" t="n">
        <f aca="false">IFERROR(J32/IF(E32&gt;0,E32,SUM(Ingredientes!$E$170:$E$178)),0)</f>
        <v>39.8063748657358</v>
      </c>
      <c r="N32" s="28" t="n">
        <f aca="false">IFERROR(K32/H32,0)</f>
        <v>0</v>
      </c>
      <c r="O32" s="26" t="n">
        <v>1.5923</v>
      </c>
      <c r="P32" s="26" t="n">
        <f aca="false">IFERROR(K32-O32,0)</f>
        <v>-4.50053705691733E-005</v>
      </c>
    </row>
    <row r="33" customFormat="false" ht="15" hidden="false" customHeight="false" outlineLevel="0" collapsed="false">
      <c r="A33" s="15" t="s">
        <v>58</v>
      </c>
      <c r="B33" s="15" t="s">
        <v>59</v>
      </c>
      <c r="C33" s="16" t="s">
        <v>461</v>
      </c>
      <c r="D33" s="23" t="n">
        <v>1</v>
      </c>
      <c r="E33" s="18" t="n">
        <v>1</v>
      </c>
      <c r="F33" s="16" t="s">
        <v>455</v>
      </c>
      <c r="G33" s="17" t="s">
        <v>463</v>
      </c>
      <c r="H33" s="24"/>
      <c r="I33" s="25"/>
      <c r="J33" s="26" t="n">
        <f aca="false">SUM(Ingredientes!$I$179:$I$179)</f>
        <v>3.06122448979592</v>
      </c>
      <c r="K33" s="26" t="n">
        <f aca="false">IFERROR(J33/D33,0)</f>
        <v>3.06122448979592</v>
      </c>
      <c r="L33" s="26" t="n">
        <f aca="false">IFERROR(K33/I33,0)</f>
        <v>0</v>
      </c>
      <c r="M33" s="27" t="n">
        <f aca="false">IFERROR(J33/IF(E33&gt;0,E33,SUM(Ingredientes!$E$179:$E$179)),0)</f>
        <v>3.06122448979592</v>
      </c>
      <c r="N33" s="28" t="n">
        <f aca="false">IFERROR(K33/H33,0)</f>
        <v>0</v>
      </c>
      <c r="O33" s="26" t="n">
        <v>3.0612</v>
      </c>
      <c r="P33" s="26" t="n">
        <f aca="false">IFERROR(K33-O33,0)</f>
        <v>2.44897959187362E-005</v>
      </c>
    </row>
    <row r="34" customFormat="false" ht="15" hidden="false" customHeight="false" outlineLevel="0" collapsed="false">
      <c r="A34" s="15" t="s">
        <v>61</v>
      </c>
      <c r="B34" s="15" t="s">
        <v>490</v>
      </c>
      <c r="C34" s="16" t="s">
        <v>461</v>
      </c>
      <c r="D34" s="23" t="n">
        <v>1</v>
      </c>
      <c r="E34" s="18" t="n">
        <v>1</v>
      </c>
      <c r="F34" s="16" t="s">
        <v>455</v>
      </c>
      <c r="G34" s="17" t="s">
        <v>463</v>
      </c>
      <c r="H34" s="24"/>
      <c r="I34" s="25"/>
      <c r="J34" s="26" t="n">
        <f aca="false">SUM(Ingredientes!$I$180:$I$180)</f>
        <v>1.53061224489796</v>
      </c>
      <c r="K34" s="26" t="n">
        <f aca="false">IFERROR(J34/D34,0)</f>
        <v>1.53061224489796</v>
      </c>
      <c r="L34" s="26" t="n">
        <f aca="false">IFERROR(K34/I34,0)</f>
        <v>0</v>
      </c>
      <c r="M34" s="27" t="n">
        <f aca="false">IFERROR(J34/IF(E34&gt;0,E34,SUM(Ingredientes!$E$180:$E$180)),0)</f>
        <v>1.53061224489796</v>
      </c>
      <c r="N34" s="28" t="n">
        <f aca="false">IFERROR(K34/H34,0)</f>
        <v>0</v>
      </c>
      <c r="O34" s="26" t="n">
        <v>1.5306</v>
      </c>
      <c r="P34" s="26" t="n">
        <f aca="false">IFERROR(K34-O34,0)</f>
        <v>1.22448979593681E-005</v>
      </c>
    </row>
    <row r="35" customFormat="false" ht="15" hidden="false" customHeight="false" outlineLevel="0" collapsed="false">
      <c r="A35" s="15" t="s">
        <v>63</v>
      </c>
      <c r="B35" s="15" t="s">
        <v>64</v>
      </c>
      <c r="C35" s="16" t="s">
        <v>444</v>
      </c>
      <c r="D35" s="23" t="n">
        <v>1</v>
      </c>
      <c r="E35" s="18" t="n">
        <v>1.8043</v>
      </c>
      <c r="F35" s="16" t="s">
        <v>491</v>
      </c>
      <c r="G35" s="17" t="s">
        <v>463</v>
      </c>
      <c r="H35" s="24"/>
      <c r="I35" s="25"/>
      <c r="J35" s="26" t="n">
        <f aca="false">SUM(Ingredientes!$I$181:$I$189)</f>
        <v>10.9338374935441</v>
      </c>
      <c r="K35" s="26" t="n">
        <f aca="false">IFERROR(J35/D35,0)</f>
        <v>10.9338374935441</v>
      </c>
      <c r="L35" s="26" t="n">
        <f aca="false">IFERROR(K35/I35,0)</f>
        <v>0</v>
      </c>
      <c r="M35" s="27" t="n">
        <f aca="false">IFERROR(J35/IF(E35&gt;0,E35,SUM(Ingredientes!$E$181:$E$189)),0)</f>
        <v>6.05987778836343</v>
      </c>
      <c r="N35" s="28" t="n">
        <f aca="false">IFERROR(K35/H35,0)</f>
        <v>0</v>
      </c>
      <c r="O35" s="26" t="n">
        <v>10.9338</v>
      </c>
      <c r="P35" s="26" t="n">
        <f aca="false">IFERROR(K35-O35,0)</f>
        <v>3.74935441413982E-005</v>
      </c>
    </row>
    <row r="36" customFormat="false" ht="15" hidden="false" customHeight="false" outlineLevel="0" collapsed="false">
      <c r="A36" s="15" t="s">
        <v>492</v>
      </c>
      <c r="B36" s="15" t="s">
        <v>64</v>
      </c>
      <c r="C36" s="16" t="s">
        <v>444</v>
      </c>
      <c r="D36" s="23" t="n">
        <v>2</v>
      </c>
      <c r="E36" s="18"/>
      <c r="F36" s="16" t="s">
        <v>455</v>
      </c>
      <c r="G36" s="17" t="s">
        <v>463</v>
      </c>
      <c r="H36" s="24"/>
      <c r="I36" s="25"/>
      <c r="J36" s="26" t="n">
        <f aca="false">SUM(Ingredientes!$I$190:$I$190)</f>
        <v>0.267190378675636</v>
      </c>
      <c r="K36" s="26" t="n">
        <f aca="false">IFERROR(J36/D36,0)</f>
        <v>0.133595189337818</v>
      </c>
      <c r="L36" s="26" t="n">
        <f aca="false">IFERROR(K36/I36,0)</f>
        <v>0</v>
      </c>
      <c r="M36" s="27" t="n">
        <f aca="false">IFERROR(J36/IF(E36&gt;0,E36,SUM(Ingredientes!$E$190:$E$190)),0)</f>
        <v>5.34380757351273</v>
      </c>
      <c r="N36" s="28" t="n">
        <f aca="false">IFERROR(K36/H36,0)</f>
        <v>0</v>
      </c>
      <c r="O36" s="26" t="n">
        <v>0.1336</v>
      </c>
      <c r="P36" s="26" t="n">
        <f aca="false">IFERROR(K36-O36,0)</f>
        <v>-4.81066218180337E-006</v>
      </c>
    </row>
    <row r="37" customFormat="false" ht="15" hidden="false" customHeight="false" outlineLevel="0" collapsed="false">
      <c r="A37" s="15" t="s">
        <v>65</v>
      </c>
      <c r="B37" s="15" t="s">
        <v>66</v>
      </c>
      <c r="C37" s="16" t="s">
        <v>444</v>
      </c>
      <c r="D37" s="23" t="n">
        <v>1</v>
      </c>
      <c r="E37" s="18" t="n">
        <v>1</v>
      </c>
      <c r="F37" s="16" t="s">
        <v>427</v>
      </c>
      <c r="G37" s="17" t="s">
        <v>463</v>
      </c>
      <c r="H37" s="24"/>
      <c r="I37" s="25"/>
      <c r="J37" s="26" t="n">
        <f aca="false">SUM(Ingredientes!$I$191:$I$193)</f>
        <v>25.2831364124597</v>
      </c>
      <c r="K37" s="26" t="n">
        <f aca="false">IFERROR(J37/D37,0)</f>
        <v>25.2831364124597</v>
      </c>
      <c r="L37" s="26" t="n">
        <f aca="false">IFERROR(K37/I37,0)</f>
        <v>0</v>
      </c>
      <c r="M37" s="27" t="n">
        <f aca="false">IFERROR(J37/IF(E37&gt;0,E37,SUM(Ingredientes!$E$191:$E$193)),0)</f>
        <v>25.2831364124597</v>
      </c>
      <c r="N37" s="28" t="n">
        <f aca="false">IFERROR(K37/H37,0)</f>
        <v>0</v>
      </c>
      <c r="O37" s="26" t="n">
        <v>25.2831</v>
      </c>
      <c r="P37" s="26" t="n">
        <f aca="false">IFERROR(K37-O37,0)</f>
        <v>3.64124597211912E-005</v>
      </c>
    </row>
    <row r="38" customFormat="false" ht="15" hidden="false" customHeight="false" outlineLevel="0" collapsed="false">
      <c r="A38" s="15" t="s">
        <v>493</v>
      </c>
      <c r="B38" s="15" t="s">
        <v>494</v>
      </c>
      <c r="C38" s="16" t="s">
        <v>447</v>
      </c>
      <c r="D38" s="23" t="n">
        <v>1</v>
      </c>
      <c r="E38" s="18"/>
      <c r="F38" s="16" t="s">
        <v>436</v>
      </c>
      <c r="G38" s="17" t="s">
        <v>463</v>
      </c>
      <c r="H38" s="24"/>
      <c r="I38" s="25"/>
      <c r="J38" s="26" t="n">
        <f aca="false">SUM(Ingredientes!$I$194:$I$204)</f>
        <v>9.30560687432868</v>
      </c>
      <c r="K38" s="26" t="n">
        <f aca="false">IFERROR(J38/D38,0)</f>
        <v>9.30560687432868</v>
      </c>
      <c r="L38" s="26" t="n">
        <f aca="false">IFERROR(K38/I38,0)</f>
        <v>0</v>
      </c>
      <c r="M38" s="27" t="n">
        <f aca="false">IFERROR(J38/IF(E38&gt;0,E38,SUM(Ingredientes!$E$194:$E$204)),0)</f>
        <v>10.8456956577257</v>
      </c>
      <c r="N38" s="28" t="n">
        <f aca="false">IFERROR(K38/H38,0)</f>
        <v>0</v>
      </c>
      <c r="O38" s="26" t="n">
        <v>9.3056</v>
      </c>
      <c r="P38" s="26" t="n">
        <f aca="false">IFERROR(K38-O38,0)</f>
        <v>6.87432867785276E-006</v>
      </c>
    </row>
    <row r="39" customFormat="false" ht="15" hidden="false" customHeight="false" outlineLevel="0" collapsed="false">
      <c r="A39" s="15" t="s">
        <v>495</v>
      </c>
      <c r="B39" s="15" t="s">
        <v>68</v>
      </c>
      <c r="C39" s="16" t="s">
        <v>439</v>
      </c>
      <c r="D39" s="23" t="n">
        <v>20</v>
      </c>
      <c r="E39" s="18"/>
      <c r="F39" s="16" t="s">
        <v>436</v>
      </c>
      <c r="G39" s="17" t="s">
        <v>463</v>
      </c>
      <c r="H39" s="24"/>
      <c r="I39" s="25"/>
      <c r="J39" s="26" t="n">
        <f aca="false">SUM(Ingredientes!$I$205:$I$210)</f>
        <v>14.050144575725</v>
      </c>
      <c r="K39" s="26" t="n">
        <f aca="false">IFERROR(J39/D39,0)</f>
        <v>0.702507228786251</v>
      </c>
      <c r="L39" s="26" t="n">
        <f aca="false">IFERROR(K39/I39,0)</f>
        <v>0</v>
      </c>
      <c r="M39" s="27" t="n">
        <f aca="false">IFERROR(J39/IF(E39&gt;0,E39,SUM(Ingredientes!$E$205:$E$210)),0)</f>
        <v>14.050144575725</v>
      </c>
      <c r="N39" s="28" t="n">
        <f aca="false">IFERROR(K39/H39,0)</f>
        <v>0</v>
      </c>
      <c r="O39" s="26" t="n">
        <v>0.7025</v>
      </c>
      <c r="P39" s="26" t="n">
        <f aca="false">IFERROR(K39-O39,0)</f>
        <v>7.22878625136758E-006</v>
      </c>
    </row>
    <row r="40" customFormat="false" ht="15" hidden="false" customHeight="false" outlineLevel="0" collapsed="false">
      <c r="A40" s="15" t="s">
        <v>52</v>
      </c>
      <c r="B40" s="15" t="s">
        <v>68</v>
      </c>
      <c r="C40" s="16" t="s">
        <v>439</v>
      </c>
      <c r="D40" s="23" t="n">
        <v>1</v>
      </c>
      <c r="E40" s="18" t="n">
        <v>1</v>
      </c>
      <c r="F40" s="16" t="s">
        <v>436</v>
      </c>
      <c r="G40" s="17" t="s">
        <v>463</v>
      </c>
      <c r="H40" s="24"/>
      <c r="I40" s="25"/>
      <c r="J40" s="26" t="n">
        <f aca="false">SUM(Ingredientes!$I$211:$I$215)</f>
        <v>14.6668244897959</v>
      </c>
      <c r="K40" s="26" t="n">
        <f aca="false">IFERROR(J40/D40,0)</f>
        <v>14.6668244897959</v>
      </c>
      <c r="L40" s="26" t="n">
        <f aca="false">IFERROR(K40/I40,0)</f>
        <v>0</v>
      </c>
      <c r="M40" s="27" t="n">
        <f aca="false">IFERROR(J40/IF(E40&gt;0,E40,SUM(Ingredientes!$E$211:$E$215)),0)</f>
        <v>14.6668244897959</v>
      </c>
      <c r="N40" s="28" t="n">
        <f aca="false">IFERROR(K40/H40,0)</f>
        <v>0</v>
      </c>
      <c r="O40" s="26" t="n">
        <v>14.6668</v>
      </c>
      <c r="P40" s="26" t="n">
        <f aca="false">IFERROR(K40-O40,0)</f>
        <v>2.44897959191803E-005</v>
      </c>
    </row>
    <row r="41" customFormat="false" ht="15" hidden="false" customHeight="false" outlineLevel="0" collapsed="false">
      <c r="A41" s="15" t="s">
        <v>496</v>
      </c>
      <c r="B41" s="15" t="s">
        <v>68</v>
      </c>
      <c r="C41" s="16" t="s">
        <v>439</v>
      </c>
      <c r="D41" s="23" t="n">
        <v>1</v>
      </c>
      <c r="E41" s="18"/>
      <c r="F41" s="16" t="s">
        <v>436</v>
      </c>
      <c r="G41" s="17" t="s">
        <v>463</v>
      </c>
      <c r="H41" s="24"/>
      <c r="I41" s="25"/>
      <c r="J41" s="26" t="n">
        <f aca="false">SUM(Ingredientes!$I$216:$I$221)</f>
        <v>17.2615832438239</v>
      </c>
      <c r="K41" s="26" t="n">
        <f aca="false">IFERROR(J41/D41,0)</f>
        <v>17.2615832438239</v>
      </c>
      <c r="L41" s="26" t="n">
        <f aca="false">IFERROR(K41/I41,0)</f>
        <v>0</v>
      </c>
      <c r="M41" s="27" t="n">
        <f aca="false">IFERROR(J41/IF(E41&gt;0,E41,SUM(Ingredientes!$E$216:$E$221)),0)</f>
        <v>16.1323207886204</v>
      </c>
      <c r="N41" s="28" t="n">
        <f aca="false">IFERROR(K41/H41,0)</f>
        <v>0</v>
      </c>
      <c r="O41" s="26" t="n">
        <v>17.2616</v>
      </c>
      <c r="P41" s="26" t="n">
        <f aca="false">IFERROR(K41-O41,0)</f>
        <v>-1.67561761514889E-005</v>
      </c>
    </row>
    <row r="42" customFormat="false" ht="15" hidden="false" customHeight="false" outlineLevel="0" collapsed="false">
      <c r="A42" s="15" t="s">
        <v>497</v>
      </c>
      <c r="B42" s="15" t="s">
        <v>68</v>
      </c>
      <c r="C42" s="16" t="s">
        <v>439</v>
      </c>
      <c r="D42" s="23" t="n">
        <v>1</v>
      </c>
      <c r="E42" s="18"/>
      <c r="F42" s="16" t="s">
        <v>436</v>
      </c>
      <c r="G42" s="17" t="s">
        <v>463</v>
      </c>
      <c r="H42" s="24"/>
      <c r="I42" s="25"/>
      <c r="J42" s="26" t="n">
        <f aca="false">SUM(Ingredientes!$I$222:$I$225)</f>
        <v>27.7777372740104</v>
      </c>
      <c r="K42" s="26" t="n">
        <f aca="false">IFERROR(J42/D42,0)</f>
        <v>27.7777372740104</v>
      </c>
      <c r="L42" s="26" t="n">
        <f aca="false">IFERROR(K42/I42,0)</f>
        <v>0</v>
      </c>
      <c r="M42" s="27" t="n">
        <f aca="false">IFERROR(J42/IF(E42&gt;0,E42,SUM(Ingredientes!$E$222:$E$225)),0)</f>
        <v>18.5184915160069</v>
      </c>
      <c r="N42" s="28" t="n">
        <f aca="false">IFERROR(K42/H42,0)</f>
        <v>0</v>
      </c>
      <c r="O42" s="26" t="n">
        <v>20.4426</v>
      </c>
      <c r="P42" s="26" t="n">
        <f aca="false">IFERROR(K42-O42,0)</f>
        <v>7.33513727401041</v>
      </c>
    </row>
    <row r="43" customFormat="false" ht="15" hidden="false" customHeight="false" outlineLevel="0" collapsed="false">
      <c r="A43" s="15" t="s">
        <v>498</v>
      </c>
      <c r="B43" s="15" t="s">
        <v>70</v>
      </c>
      <c r="C43" s="16" t="s">
        <v>439</v>
      </c>
      <c r="D43" s="23" t="n">
        <v>1</v>
      </c>
      <c r="E43" s="18" t="n">
        <v>1.3093</v>
      </c>
      <c r="F43" s="16" t="s">
        <v>427</v>
      </c>
      <c r="G43" s="17" t="s">
        <v>463</v>
      </c>
      <c r="H43" s="24"/>
      <c r="I43" s="25"/>
      <c r="J43" s="26" t="n">
        <f aca="false">SUM(Ingredientes!$I$226:$I$237)</f>
        <v>18.3144113856069</v>
      </c>
      <c r="K43" s="26" t="n">
        <f aca="false">IFERROR(J43/D43,0)</f>
        <v>18.3144113856069</v>
      </c>
      <c r="L43" s="26" t="n">
        <f aca="false">IFERROR(K43/I43,0)</f>
        <v>0</v>
      </c>
      <c r="M43" s="27" t="n">
        <f aca="false">IFERROR(J43/IF(E43&gt;0,E43,SUM(Ingredientes!$E$226:$E$237)),0)</f>
        <v>13.9879411789558</v>
      </c>
      <c r="N43" s="28" t="n">
        <f aca="false">IFERROR(K43/H43,0)</f>
        <v>0</v>
      </c>
      <c r="O43" s="26" t="n">
        <v>18.3297</v>
      </c>
      <c r="P43" s="26" t="n">
        <f aca="false">IFERROR(K43-O43,0)</f>
        <v>-0.0152886143931248</v>
      </c>
    </row>
    <row r="44" customFormat="false" ht="15" hidden="false" customHeight="false" outlineLevel="0" collapsed="false">
      <c r="A44" s="15" t="s">
        <v>499</v>
      </c>
      <c r="B44" s="15" t="s">
        <v>500</v>
      </c>
      <c r="C44" s="16" t="s">
        <v>444</v>
      </c>
      <c r="D44" s="23" t="n">
        <v>4</v>
      </c>
      <c r="E44" s="18"/>
      <c r="F44" s="16" t="s">
        <v>458</v>
      </c>
      <c r="G44" s="17" t="s">
        <v>463</v>
      </c>
      <c r="H44" s="24"/>
      <c r="I44" s="25"/>
      <c r="J44" s="26" t="n">
        <f aca="false">SUM(Ingredientes!$I$238:$I$242)</f>
        <v>3.81288936627283</v>
      </c>
      <c r="K44" s="26" t="n">
        <f aca="false">IFERROR(J44/D44,0)</f>
        <v>0.953222341568206</v>
      </c>
      <c r="L44" s="26" t="n">
        <f aca="false">IFERROR(K44/I44,0)</f>
        <v>0</v>
      </c>
      <c r="M44" s="27" t="n">
        <f aca="false">IFERROR(J44/IF(E44&gt;0,E44,SUM(Ingredientes!$E$238:$E$242)),0)</f>
        <v>7.12689601172491</v>
      </c>
      <c r="N44" s="28" t="n">
        <f aca="false">IFERROR(K44/H44,0)</f>
        <v>0</v>
      </c>
      <c r="O44" s="26" t="n">
        <v>0.9532</v>
      </c>
      <c r="P44" s="26" t="n">
        <f aca="false">IFERROR(K44-O44,0)</f>
        <v>2.23415682062411E-005</v>
      </c>
    </row>
    <row r="45" customFormat="false" ht="15" hidden="false" customHeight="false" outlineLevel="0" collapsed="false">
      <c r="A45" s="15" t="s">
        <v>501</v>
      </c>
      <c r="B45" s="15" t="s">
        <v>72</v>
      </c>
      <c r="C45" s="16" t="s">
        <v>447</v>
      </c>
      <c r="D45" s="23" t="n">
        <v>1</v>
      </c>
      <c r="E45" s="18" t="n">
        <v>1</v>
      </c>
      <c r="F45" s="16" t="s">
        <v>455</v>
      </c>
      <c r="G45" s="17" t="s">
        <v>463</v>
      </c>
      <c r="H45" s="24"/>
      <c r="I45" s="25"/>
      <c r="J45" s="26" t="n">
        <f aca="false">SUM(Ingredientes!$I$243:$I$248)</f>
        <v>45.9219387755102</v>
      </c>
      <c r="K45" s="26" t="n">
        <f aca="false">IFERROR(J45/D45,0)</f>
        <v>45.9219387755102</v>
      </c>
      <c r="L45" s="26" t="n">
        <f aca="false">IFERROR(K45/I45,0)</f>
        <v>0</v>
      </c>
      <c r="M45" s="27" t="n">
        <f aca="false">IFERROR(J45/IF(E45&gt;0,E45,SUM(Ingredientes!$E$243:$E$248)),0)</f>
        <v>45.9219387755102</v>
      </c>
      <c r="N45" s="28" t="n">
        <f aca="false">IFERROR(K45/H45,0)</f>
        <v>0</v>
      </c>
      <c r="O45" s="26" t="n">
        <v>45.9219</v>
      </c>
      <c r="P45" s="26" t="n">
        <f aca="false">IFERROR(K45-O45,0)</f>
        <v>3.87755102053688E-005</v>
      </c>
    </row>
    <row r="46" customFormat="false" ht="15" hidden="false" customHeight="false" outlineLevel="0" collapsed="false">
      <c r="A46" s="15" t="s">
        <v>502</v>
      </c>
      <c r="B46" s="15" t="s">
        <v>503</v>
      </c>
      <c r="C46" s="16" t="s">
        <v>444</v>
      </c>
      <c r="D46" s="23" t="n">
        <v>1</v>
      </c>
      <c r="E46" s="18"/>
      <c r="F46" s="16" t="s">
        <v>455</v>
      </c>
      <c r="G46" s="17" t="s">
        <v>463</v>
      </c>
      <c r="H46" s="24"/>
      <c r="I46" s="25"/>
      <c r="J46" s="26" t="n">
        <f aca="false">SUM(Ingredientes!$I$249:$I$253)</f>
        <v>16.0745510204082</v>
      </c>
      <c r="K46" s="26" t="n">
        <f aca="false">IFERROR(J46/D46,0)</f>
        <v>16.0745510204082</v>
      </c>
      <c r="L46" s="26" t="n">
        <f aca="false">IFERROR(K46/I46,0)</f>
        <v>0</v>
      </c>
      <c r="M46" s="27" t="n">
        <f aca="false">IFERROR(J46/IF(E46&gt;0,E46,SUM(Ingredientes!$E$249:$E$253)),0)</f>
        <v>10.5892957973703</v>
      </c>
      <c r="N46" s="28" t="n">
        <f aca="false">IFERROR(K46/H46,0)</f>
        <v>0</v>
      </c>
      <c r="O46" s="26" t="n">
        <v>16.0746</v>
      </c>
      <c r="P46" s="26" t="n">
        <f aca="false">IFERROR(K46-O46,0)</f>
        <v>-4.89795918383607E-005</v>
      </c>
    </row>
    <row r="47" customFormat="false" ht="15" hidden="false" customHeight="false" outlineLevel="0" collapsed="false">
      <c r="A47" s="15" t="s">
        <v>73</v>
      </c>
      <c r="B47" s="15" t="s">
        <v>504</v>
      </c>
      <c r="C47" s="16" t="s">
        <v>444</v>
      </c>
      <c r="D47" s="23" t="n">
        <v>1</v>
      </c>
      <c r="E47" s="18" t="n">
        <v>0.6129</v>
      </c>
      <c r="F47" s="16" t="s">
        <v>436</v>
      </c>
      <c r="G47" s="17" t="s">
        <v>463</v>
      </c>
      <c r="H47" s="24"/>
      <c r="I47" s="25"/>
      <c r="J47" s="26" t="n">
        <f aca="false">SUM(Ingredientes!$I$254:$I$257)</f>
        <v>6.26359183673469</v>
      </c>
      <c r="K47" s="26" t="n">
        <f aca="false">IFERROR(J47/D47,0)</f>
        <v>6.26359183673469</v>
      </c>
      <c r="L47" s="26" t="n">
        <f aca="false">IFERROR(K47/I47,0)</f>
        <v>0</v>
      </c>
      <c r="M47" s="27" t="n">
        <f aca="false">IFERROR(J47/IF(E47&gt;0,E47,SUM(Ingredientes!$E$254:$E$257)),0)</f>
        <v>10.2195983630848</v>
      </c>
      <c r="N47" s="28" t="n">
        <f aca="false">IFERROR(K47/H47,0)</f>
        <v>0</v>
      </c>
      <c r="O47" s="26" t="n">
        <v>6.2636</v>
      </c>
      <c r="P47" s="26" t="n">
        <f aca="false">IFERROR(K47-O47,0)</f>
        <v>-8.16326530639344E-006</v>
      </c>
    </row>
    <row r="48" customFormat="false" ht="15" hidden="false" customHeight="false" outlineLevel="0" collapsed="false">
      <c r="A48" s="15" t="s">
        <v>505</v>
      </c>
      <c r="B48" s="15" t="s">
        <v>506</v>
      </c>
      <c r="C48" s="16" t="s">
        <v>444</v>
      </c>
      <c r="D48" s="23" t="n">
        <v>1</v>
      </c>
      <c r="E48" s="18"/>
      <c r="F48" s="16" t="s">
        <v>491</v>
      </c>
      <c r="G48" s="17" t="s">
        <v>463</v>
      </c>
      <c r="H48" s="24"/>
      <c r="I48" s="25"/>
      <c r="J48" s="26" t="n">
        <f aca="false">SUM(Ingredientes!$I$258:$I$262)</f>
        <v>10.0522577873255</v>
      </c>
      <c r="K48" s="26" t="n">
        <f aca="false">IFERROR(J48/D48,0)</f>
        <v>10.0522577873255</v>
      </c>
      <c r="L48" s="26" t="n">
        <f aca="false">IFERROR(K48/I48,0)</f>
        <v>0</v>
      </c>
      <c r="M48" s="27" t="n">
        <f aca="false">IFERROR(J48/IF(E48&gt;0,E48,SUM(Ingredientes!$E$258:$E$262)),0)</f>
        <v>20.9422037235947</v>
      </c>
      <c r="N48" s="28" t="n">
        <f aca="false">IFERROR(K48/H48,0)</f>
        <v>0</v>
      </c>
      <c r="O48" s="26" t="n">
        <v>10.0523</v>
      </c>
      <c r="P48" s="26" t="n">
        <f aca="false">IFERROR(K48-O48,0)</f>
        <v>-4.22126745451834E-005</v>
      </c>
    </row>
    <row r="49" customFormat="false" ht="15" hidden="false" customHeight="false" outlineLevel="0" collapsed="false">
      <c r="A49" s="15" t="s">
        <v>507</v>
      </c>
      <c r="B49" s="15" t="s">
        <v>508</v>
      </c>
      <c r="C49" s="16" t="s">
        <v>444</v>
      </c>
      <c r="D49" s="23" t="n">
        <v>5</v>
      </c>
      <c r="E49" s="18"/>
      <c r="F49" s="16" t="s">
        <v>455</v>
      </c>
      <c r="G49" s="17" t="s">
        <v>463</v>
      </c>
      <c r="H49" s="24"/>
      <c r="I49" s="25"/>
      <c r="J49" s="26" t="n">
        <f aca="false">SUM(Ingredientes!$I$263:$I$267)</f>
        <v>56.6095159543046</v>
      </c>
      <c r="K49" s="26" t="n">
        <f aca="false">IFERROR(J49/D49,0)</f>
        <v>11.3219031908609</v>
      </c>
      <c r="L49" s="26" t="n">
        <f aca="false">IFERROR(K49/I49,0)</f>
        <v>0</v>
      </c>
      <c r="M49" s="27" t="n">
        <f aca="false">IFERROR(J49/IF(E49&gt;0,E49,SUM(Ingredientes!$E$263:$E$267)),0)</f>
        <v>10.610968313834</v>
      </c>
      <c r="N49" s="28" t="n">
        <f aca="false">IFERROR(K49/H49,0)</f>
        <v>0</v>
      </c>
      <c r="O49" s="26" t="n">
        <v>11.3219</v>
      </c>
      <c r="P49" s="26" t="n">
        <f aca="false">IFERROR(K49-O49,0)</f>
        <v>3.1908609159359E-006</v>
      </c>
    </row>
    <row r="50" customFormat="false" ht="15" hidden="false" customHeight="false" outlineLevel="0" collapsed="false">
      <c r="A50" s="15" t="s">
        <v>509</v>
      </c>
      <c r="B50" s="15" t="s">
        <v>510</v>
      </c>
      <c r="C50" s="16" t="s">
        <v>444</v>
      </c>
      <c r="D50" s="23" t="n">
        <v>1</v>
      </c>
      <c r="E50" s="18"/>
      <c r="F50" s="16" t="s">
        <v>458</v>
      </c>
      <c r="G50" s="17" t="s">
        <v>463</v>
      </c>
      <c r="H50" s="24"/>
      <c r="I50" s="25"/>
      <c r="J50" s="26" t="n">
        <f aca="false">SUM(Ingredientes!$I$268:$I$276)</f>
        <v>11.4162989258861</v>
      </c>
      <c r="K50" s="26" t="n">
        <f aca="false">IFERROR(J50/D50,0)</f>
        <v>11.4162989258861</v>
      </c>
      <c r="L50" s="26" t="n">
        <f aca="false">IFERROR(K50/I50,0)</f>
        <v>0</v>
      </c>
      <c r="M50" s="27" t="n">
        <f aca="false">IFERROR(J50/IF(E50&gt;0,E50,SUM(Ingredientes!$E$268:$E$276)),0)</f>
        <v>12.7414050512122</v>
      </c>
      <c r="N50" s="28" t="n">
        <f aca="false">IFERROR(K50/H50,0)</f>
        <v>0</v>
      </c>
      <c r="O50" s="26" t="n">
        <v>11.4163</v>
      </c>
      <c r="P50" s="26" t="n">
        <f aca="false">IFERROR(K50-O50,0)</f>
        <v>-1.07411385386058E-006</v>
      </c>
    </row>
    <row r="51" customFormat="false" ht="15" hidden="false" customHeight="false" outlineLevel="0" collapsed="false">
      <c r="A51" s="15" t="s">
        <v>511</v>
      </c>
      <c r="B51" s="15" t="s">
        <v>512</v>
      </c>
      <c r="C51" s="16" t="s">
        <v>435</v>
      </c>
      <c r="D51" s="23" t="n">
        <v>9.87</v>
      </c>
      <c r="E51" s="18"/>
      <c r="F51" s="16" t="s">
        <v>436</v>
      </c>
      <c r="G51" s="17" t="s">
        <v>463</v>
      </c>
      <c r="H51" s="24"/>
      <c r="I51" s="25"/>
      <c r="J51" s="26" t="n">
        <f aca="false">SUM(Ingredientes!$I$277:$I$284)</f>
        <v>39.9129748657358</v>
      </c>
      <c r="K51" s="26" t="n">
        <f aca="false">IFERROR(J51/D51,0)</f>
        <v>4.04386776755175</v>
      </c>
      <c r="L51" s="26" t="n">
        <f aca="false">IFERROR(K51/I51,0)</f>
        <v>0</v>
      </c>
      <c r="M51" s="27" t="n">
        <f aca="false">IFERROR(J51/IF(E51&gt;0,E51,SUM(Ingredientes!$E$277:$E$284)),0)</f>
        <v>16.310982781257</v>
      </c>
      <c r="N51" s="28" t="n">
        <f aca="false">IFERROR(K51/H51,0)</f>
        <v>0</v>
      </c>
      <c r="O51" s="26" t="n">
        <v>4.0439</v>
      </c>
      <c r="P51" s="26" t="n">
        <f aca="false">IFERROR(K51-O51,0)</f>
        <v>-3.22324482509018E-005</v>
      </c>
    </row>
    <row r="52" customFormat="false" ht="15" hidden="false" customHeight="false" outlineLevel="0" collapsed="false">
      <c r="A52" s="15" t="s">
        <v>513</v>
      </c>
      <c r="B52" s="15" t="s">
        <v>514</v>
      </c>
      <c r="C52" s="16" t="s">
        <v>435</v>
      </c>
      <c r="D52" s="23" t="n">
        <v>25</v>
      </c>
      <c r="E52" s="18"/>
      <c r="F52" s="16" t="s">
        <v>458</v>
      </c>
      <c r="G52" s="17" t="s">
        <v>463</v>
      </c>
      <c r="H52" s="24"/>
      <c r="I52" s="25"/>
      <c r="J52" s="26" t="n">
        <f aca="false">SUM(Ingredientes!$I$285:$I$292)</f>
        <v>22.4845054900458</v>
      </c>
      <c r="K52" s="26" t="n">
        <f aca="false">IFERROR(J52/D52,0)</f>
        <v>0.899380219601832</v>
      </c>
      <c r="L52" s="26" t="n">
        <f aca="false">IFERROR(K52/I52,0)</f>
        <v>0</v>
      </c>
      <c r="M52" s="27" t="n">
        <f aca="false">IFERROR(J52/IF(E52&gt;0,E52,SUM(Ingredientes!$E$285:$E$292)),0)</f>
        <v>29.5848756447971</v>
      </c>
      <c r="N52" s="28" t="n">
        <f aca="false">IFERROR(K52/H52,0)</f>
        <v>0</v>
      </c>
      <c r="O52" s="26" t="n">
        <v>0.9141</v>
      </c>
      <c r="P52" s="26" t="n">
        <f aca="false">IFERROR(K52-O52,0)</f>
        <v>-0.0147197803981677</v>
      </c>
    </row>
    <row r="53" customFormat="false" ht="15" hidden="false" customHeight="false" outlineLevel="0" collapsed="false">
      <c r="A53" s="15" t="s">
        <v>515</v>
      </c>
      <c r="B53" s="15" t="s">
        <v>516</v>
      </c>
      <c r="C53" s="16" t="s">
        <v>480</v>
      </c>
      <c r="D53" s="23" t="n">
        <v>10</v>
      </c>
      <c r="E53" s="18"/>
      <c r="F53" s="16" t="s">
        <v>427</v>
      </c>
      <c r="G53" s="17" t="s">
        <v>463</v>
      </c>
      <c r="H53" s="24"/>
      <c r="I53" s="25"/>
      <c r="J53" s="26" t="n">
        <f aca="false">SUM(Ingredientes!$I$293:$I$299)</f>
        <v>111.193167264513</v>
      </c>
      <c r="K53" s="26" t="n">
        <f aca="false">IFERROR(J53/D53,0)</f>
        <v>11.1193167264513</v>
      </c>
      <c r="L53" s="26" t="n">
        <f aca="false">IFERROR(K53/I53,0)</f>
        <v>0</v>
      </c>
      <c r="M53" s="27" t="n">
        <f aca="false">IFERROR(J53/IF(E53&gt;0,E53,SUM(Ingredientes!$E$293:$E$299)),0)</f>
        <v>29.9712041144241</v>
      </c>
      <c r="N53" s="28" t="n">
        <f aca="false">IFERROR(K53/H53,0)</f>
        <v>0</v>
      </c>
      <c r="O53" s="26" t="n">
        <v>11.1193</v>
      </c>
      <c r="P53" s="26" t="n">
        <f aca="false">IFERROR(K53-O53,0)</f>
        <v>1.6726451345761E-005</v>
      </c>
    </row>
    <row r="54" customFormat="false" ht="15" hidden="false" customHeight="false" outlineLevel="0" collapsed="false">
      <c r="A54" s="15" t="s">
        <v>75</v>
      </c>
      <c r="B54" s="15" t="s">
        <v>76</v>
      </c>
      <c r="C54" s="16" t="s">
        <v>444</v>
      </c>
      <c r="D54" s="23" t="n">
        <v>1</v>
      </c>
      <c r="E54" s="18" t="n">
        <v>1</v>
      </c>
      <c r="F54" s="16" t="s">
        <v>427</v>
      </c>
      <c r="G54" s="17" t="s">
        <v>463</v>
      </c>
      <c r="H54" s="24"/>
      <c r="I54" s="25"/>
      <c r="J54" s="26" t="n">
        <f aca="false">SUM(Ingredientes!$I$300:$I$304)</f>
        <v>12.142727971034</v>
      </c>
      <c r="K54" s="26" t="n">
        <f aca="false">IFERROR(J54/D54,0)</f>
        <v>12.142727971034</v>
      </c>
      <c r="L54" s="26" t="n">
        <f aca="false">IFERROR(K54/I54,0)</f>
        <v>0</v>
      </c>
      <c r="M54" s="27" t="n">
        <f aca="false">IFERROR(J54/IF(E54&gt;0,E54,SUM(Ingredientes!$E$300:$E$304)),0)</f>
        <v>12.142727971034</v>
      </c>
      <c r="N54" s="28" t="n">
        <f aca="false">IFERROR(K54/H54,0)</f>
        <v>0</v>
      </c>
      <c r="O54" s="26" t="n">
        <v>12.199</v>
      </c>
      <c r="P54" s="26" t="n">
        <f aca="false">IFERROR(K54-O54,0)</f>
        <v>-0.056272028966001</v>
      </c>
    </row>
    <row r="55" customFormat="false" ht="15" hidden="false" customHeight="false" outlineLevel="0" collapsed="false">
      <c r="A55" s="15" t="s">
        <v>517</v>
      </c>
      <c r="B55" s="15" t="s">
        <v>518</v>
      </c>
      <c r="C55" s="16" t="s">
        <v>447</v>
      </c>
      <c r="D55" s="23" t="n">
        <v>1</v>
      </c>
      <c r="E55" s="18"/>
      <c r="F55" s="16" t="s">
        <v>519</v>
      </c>
      <c r="G55" s="17" t="s">
        <v>463</v>
      </c>
      <c r="H55" s="24"/>
      <c r="I55" s="25"/>
      <c r="J55" s="26" t="n">
        <f aca="false">SUM(Ingredientes!$I$305:$I$315)</f>
        <v>21.5552653061225</v>
      </c>
      <c r="K55" s="26" t="n">
        <f aca="false">IFERROR(J55/D55,0)</f>
        <v>21.5552653061225</v>
      </c>
      <c r="L55" s="26" t="n">
        <f aca="false">IFERROR(K55/I55,0)</f>
        <v>0</v>
      </c>
      <c r="M55" s="27" t="n">
        <f aca="false">IFERROR(J55/IF(E55&gt;0,E55,SUM(Ingredientes!$E$305:$E$315)),0)</f>
        <v>32.6100836703819</v>
      </c>
      <c r="N55" s="28" t="n">
        <f aca="false">IFERROR(K55/H55,0)</f>
        <v>0</v>
      </c>
      <c r="O55" s="26" t="n">
        <v>21.5553</v>
      </c>
      <c r="P55" s="26" t="n">
        <f aca="false">IFERROR(K55-O55,0)</f>
        <v>-3.46938775450667E-005</v>
      </c>
    </row>
    <row r="56" customFormat="false" ht="15" hidden="false" customHeight="false" outlineLevel="0" collapsed="false">
      <c r="A56" s="15" t="s">
        <v>77</v>
      </c>
      <c r="B56" s="15" t="s">
        <v>78</v>
      </c>
      <c r="C56" s="16" t="s">
        <v>447</v>
      </c>
      <c r="D56" s="23" t="n">
        <v>1</v>
      </c>
      <c r="E56" s="18" t="n">
        <v>0.9885</v>
      </c>
      <c r="F56" s="16" t="s">
        <v>519</v>
      </c>
      <c r="G56" s="17" t="s">
        <v>463</v>
      </c>
      <c r="H56" s="24"/>
      <c r="I56" s="25"/>
      <c r="J56" s="26" t="n">
        <f aca="false">SUM(Ingredientes!$I$316:$I$329)</f>
        <v>9.23278047798067</v>
      </c>
      <c r="K56" s="26" t="n">
        <f aca="false">IFERROR(J56/D56,0)</f>
        <v>9.23278047798067</v>
      </c>
      <c r="L56" s="26" t="n">
        <f aca="false">IFERROR(K56/I56,0)</f>
        <v>0</v>
      </c>
      <c r="M56" s="27" t="n">
        <f aca="false">IFERROR(J56/IF(E56&gt;0,E56,SUM(Ingredientes!$E$316:$E$329)),0)</f>
        <v>9.34019269396122</v>
      </c>
      <c r="N56" s="28" t="n">
        <f aca="false">IFERROR(K56/H56,0)</f>
        <v>0</v>
      </c>
      <c r="O56" s="26" t="n">
        <v>9.2328</v>
      </c>
      <c r="P56" s="26" t="n">
        <f aca="false">IFERROR(K56-O56,0)</f>
        <v>-1.95220193326406E-005</v>
      </c>
    </row>
    <row r="57" customFormat="false" ht="15" hidden="false" customHeight="false" outlineLevel="0" collapsed="false">
      <c r="A57" s="15" t="s">
        <v>520</v>
      </c>
      <c r="B57" s="15" t="s">
        <v>78</v>
      </c>
      <c r="C57" s="16" t="s">
        <v>447</v>
      </c>
      <c r="D57" s="23" t="n">
        <v>1</v>
      </c>
      <c r="E57" s="18"/>
      <c r="F57" s="16" t="s">
        <v>519</v>
      </c>
      <c r="G57" s="17" t="s">
        <v>463</v>
      </c>
      <c r="H57" s="24"/>
      <c r="I57" s="25"/>
      <c r="J57" s="26" t="n">
        <f aca="false">SUM(Ingredientes!$I$330:$I$342)</f>
        <v>8.25966648764769</v>
      </c>
      <c r="K57" s="26" t="n">
        <f aca="false">IFERROR(J57/D57,0)</f>
        <v>8.25966648764769</v>
      </c>
      <c r="L57" s="26" t="n">
        <f aca="false">IFERROR(K57/I57,0)</f>
        <v>0</v>
      </c>
      <c r="M57" s="27" t="n">
        <f aca="false">IFERROR(J57/IF(E57&gt;0,E57,SUM(Ingredientes!$E$330:$E$342)),0)</f>
        <v>11.5358470497873</v>
      </c>
      <c r="N57" s="28" t="n">
        <f aca="false">IFERROR(K57/H57,0)</f>
        <v>0</v>
      </c>
      <c r="O57" s="26" t="n">
        <v>8.2597</v>
      </c>
      <c r="P57" s="26" t="n">
        <f aca="false">IFERROR(K57-O57,0)</f>
        <v>-3.35123523100833E-005</v>
      </c>
    </row>
    <row r="58" customFormat="false" ht="15" hidden="false" customHeight="false" outlineLevel="0" collapsed="false">
      <c r="A58" s="15" t="s">
        <v>521</v>
      </c>
      <c r="B58" s="15" t="s">
        <v>522</v>
      </c>
      <c r="C58" s="16" t="s">
        <v>447</v>
      </c>
      <c r="D58" s="23" t="n">
        <v>12</v>
      </c>
      <c r="E58" s="18"/>
      <c r="F58" s="16" t="s">
        <v>519</v>
      </c>
      <c r="G58" s="17" t="s">
        <v>463</v>
      </c>
      <c r="H58" s="24"/>
      <c r="I58" s="25"/>
      <c r="J58" s="26" t="n">
        <f aca="false">SUM(Ingredientes!$I$343:$I$356)</f>
        <v>13.350434613319</v>
      </c>
      <c r="K58" s="26" t="n">
        <f aca="false">IFERROR(J58/D58,0)</f>
        <v>1.11253621777658</v>
      </c>
      <c r="L58" s="26" t="n">
        <f aca="false">IFERROR(K58/I58,0)</f>
        <v>0</v>
      </c>
      <c r="M58" s="27" t="n">
        <f aca="false">IFERROR(J58/IF(E58&gt;0,E58,SUM(Ingredientes!$E$343:$E$356)),0)</f>
        <v>9.88921082468075</v>
      </c>
      <c r="N58" s="28" t="n">
        <f aca="false">IFERROR(K58/H58,0)</f>
        <v>0</v>
      </c>
      <c r="O58" s="26" t="n">
        <v>1.1125</v>
      </c>
      <c r="P58" s="26" t="n">
        <f aca="false">IFERROR(K58-O58,0)</f>
        <v>3.62177765844685E-005</v>
      </c>
    </row>
    <row r="59" customFormat="false" ht="15" hidden="false" customHeight="false" outlineLevel="0" collapsed="false">
      <c r="A59" s="15" t="s">
        <v>523</v>
      </c>
      <c r="B59" s="15" t="s">
        <v>524</v>
      </c>
      <c r="C59" s="16" t="s">
        <v>447</v>
      </c>
      <c r="D59" s="23" t="n">
        <v>1</v>
      </c>
      <c r="E59" s="18"/>
      <c r="F59" s="16" t="s">
        <v>458</v>
      </c>
      <c r="G59" s="17" t="s">
        <v>463</v>
      </c>
      <c r="H59" s="24"/>
      <c r="I59" s="25"/>
      <c r="J59" s="26" t="n">
        <f aca="false">SUM(Ingredientes!$I$357:$I$363)</f>
        <v>22.4822448979592</v>
      </c>
      <c r="K59" s="26" t="n">
        <f aca="false">IFERROR(J59/D59,0)</f>
        <v>22.4822448979592</v>
      </c>
      <c r="L59" s="26" t="n">
        <f aca="false">IFERROR(K59/I59,0)</f>
        <v>0</v>
      </c>
      <c r="M59" s="27" t="n">
        <f aca="false">IFERROR(J59/IF(E59&gt;0,E59,SUM(Ingredientes!$E$357:$E$363)),0)</f>
        <v>28.2795533307663</v>
      </c>
      <c r="N59" s="28" t="n">
        <f aca="false">IFERROR(K59/H59,0)</f>
        <v>0</v>
      </c>
      <c r="O59" s="26" t="n">
        <v>22.4822</v>
      </c>
      <c r="P59" s="26" t="n">
        <f aca="false">IFERROR(K59-O59,0)</f>
        <v>4.48979591851639E-005</v>
      </c>
    </row>
    <row r="60" customFormat="false" ht="15" hidden="false" customHeight="false" outlineLevel="0" collapsed="false">
      <c r="A60" s="15" t="s">
        <v>525</v>
      </c>
      <c r="B60" s="15" t="s">
        <v>526</v>
      </c>
      <c r="C60" s="16" t="s">
        <v>447</v>
      </c>
      <c r="D60" s="23" t="n">
        <v>1</v>
      </c>
      <c r="E60" s="18"/>
      <c r="F60" s="16" t="s">
        <v>527</v>
      </c>
      <c r="G60" s="17" t="s">
        <v>463</v>
      </c>
      <c r="H60" s="24"/>
      <c r="I60" s="25"/>
      <c r="J60" s="26" t="n">
        <f aca="false">SUM(Ingredientes!$I$364:$I$373)</f>
        <v>10.138612244898</v>
      </c>
      <c r="K60" s="26" t="n">
        <f aca="false">IFERROR(J60/D60,0)</f>
        <v>10.138612244898</v>
      </c>
      <c r="L60" s="26" t="n">
        <f aca="false">IFERROR(K60/I60,0)</f>
        <v>0</v>
      </c>
      <c r="M60" s="27" t="n">
        <f aca="false">IFERROR(J60/IF(E60&gt;0,E60,SUM(Ingredientes!$E$364:$E$373)),0)</f>
        <v>12.8174617508192</v>
      </c>
      <c r="N60" s="28" t="n">
        <f aca="false">IFERROR(K60/H60,0)</f>
        <v>0</v>
      </c>
      <c r="O60" s="26" t="n">
        <v>10.1386</v>
      </c>
      <c r="P60" s="26" t="n">
        <f aca="false">IFERROR(K60-O60,0)</f>
        <v>1.22448979595902E-005</v>
      </c>
    </row>
    <row r="61" customFormat="false" ht="15" hidden="false" customHeight="false" outlineLevel="0" collapsed="false">
      <c r="A61" s="15" t="s">
        <v>528</v>
      </c>
      <c r="B61" s="15" t="s">
        <v>529</v>
      </c>
      <c r="C61" s="16" t="s">
        <v>447</v>
      </c>
      <c r="D61" s="23" t="n">
        <v>10</v>
      </c>
      <c r="E61" s="18"/>
      <c r="F61" s="16" t="s">
        <v>448</v>
      </c>
      <c r="G61" s="17" t="s">
        <v>463</v>
      </c>
      <c r="H61" s="24"/>
      <c r="I61" s="25"/>
      <c r="J61" s="26" t="n">
        <f aca="false">SUM(Ingredientes!$I$374:$I$382)</f>
        <v>15.5813582363827</v>
      </c>
      <c r="K61" s="26" t="n">
        <f aca="false">IFERROR(J61/D61,0)</f>
        <v>1.55813582363827</v>
      </c>
      <c r="L61" s="26" t="n">
        <f aca="false">IFERROR(K61/I61,0)</f>
        <v>0</v>
      </c>
      <c r="M61" s="27" t="n">
        <f aca="false">IFERROR(J61/IF(E61&gt;0,E61,SUM(Ingredientes!$E$374:$E$382)),0)</f>
        <v>9.1332697751364</v>
      </c>
      <c r="N61" s="28" t="n">
        <f aca="false">IFERROR(K61/H61,0)</f>
        <v>0</v>
      </c>
      <c r="O61" s="26" t="n">
        <v>1.5581</v>
      </c>
      <c r="P61" s="26" t="n">
        <f aca="false">IFERROR(K61-O61,0)</f>
        <v>3.58236382693722E-005</v>
      </c>
    </row>
    <row r="62" customFormat="false" ht="15" hidden="false" customHeight="false" outlineLevel="0" collapsed="false">
      <c r="A62" s="15" t="s">
        <v>530</v>
      </c>
      <c r="B62" s="15" t="s">
        <v>529</v>
      </c>
      <c r="C62" s="16" t="s">
        <v>447</v>
      </c>
      <c r="D62" s="23" t="n">
        <v>12</v>
      </c>
      <c r="E62" s="18"/>
      <c r="F62" s="16" t="s">
        <v>448</v>
      </c>
      <c r="G62" s="17" t="s">
        <v>463</v>
      </c>
      <c r="H62" s="24"/>
      <c r="I62" s="25"/>
      <c r="J62" s="26" t="n">
        <f aca="false">SUM(Ingredientes!$I$383:$I$393)</f>
        <v>23.5554614191231</v>
      </c>
      <c r="K62" s="26" t="n">
        <f aca="false">IFERROR(J62/D62,0)</f>
        <v>1.96295511826026</v>
      </c>
      <c r="L62" s="26" t="n">
        <f aca="false">IFERROR(K62/I62,0)</f>
        <v>0</v>
      </c>
      <c r="M62" s="27" t="n">
        <f aca="false">IFERROR(J62/IF(E62&gt;0,E62,SUM(Ingredientes!$E$383:$E$393)),0)</f>
        <v>13.2334052916422</v>
      </c>
      <c r="N62" s="28" t="n">
        <f aca="false">IFERROR(K62/H62,0)</f>
        <v>0</v>
      </c>
      <c r="O62" s="26" t="n">
        <v>1.963</v>
      </c>
      <c r="P62" s="26" t="n">
        <f aca="false">IFERROR(K62-O62,0)</f>
        <v>-4.48817397422641E-005</v>
      </c>
    </row>
    <row r="63" customFormat="false" ht="15" hidden="false" customHeight="false" outlineLevel="0" collapsed="false">
      <c r="A63" s="15" t="s">
        <v>531</v>
      </c>
      <c r="B63" s="15" t="s">
        <v>532</v>
      </c>
      <c r="C63" s="16" t="s">
        <v>447</v>
      </c>
      <c r="D63" s="23" t="n">
        <v>8</v>
      </c>
      <c r="E63" s="18"/>
      <c r="F63" s="16" t="s">
        <v>527</v>
      </c>
      <c r="G63" s="17" t="s">
        <v>463</v>
      </c>
      <c r="H63" s="24"/>
      <c r="I63" s="25"/>
      <c r="J63" s="26" t="n">
        <f aca="false">SUM(Ingredientes!$I$394:$I$402)</f>
        <v>21.7045649838883</v>
      </c>
      <c r="K63" s="26" t="n">
        <f aca="false">IFERROR(J63/D63,0)</f>
        <v>2.71307062298604</v>
      </c>
      <c r="L63" s="26" t="n">
        <f aca="false">IFERROR(K63/I63,0)</f>
        <v>0</v>
      </c>
      <c r="M63" s="27" t="n">
        <f aca="false">IFERROR(J63/IF(E63&gt;0,E63,SUM(Ingredientes!$E$394:$E$402)),0)</f>
        <v>29.9373310122597</v>
      </c>
      <c r="N63" s="28" t="n">
        <f aca="false">IFERROR(K63/H63,0)</f>
        <v>0</v>
      </c>
      <c r="O63" s="26" t="n">
        <v>2.6939</v>
      </c>
      <c r="P63" s="26" t="n">
        <f aca="false">IFERROR(K63-O63,0)</f>
        <v>0.0191706229860364</v>
      </c>
    </row>
    <row r="64" customFormat="false" ht="15" hidden="false" customHeight="false" outlineLevel="0" collapsed="false">
      <c r="A64" s="15" t="s">
        <v>79</v>
      </c>
      <c r="B64" s="15" t="s">
        <v>80</v>
      </c>
      <c r="C64" s="16" t="s">
        <v>447</v>
      </c>
      <c r="D64" s="23" t="n">
        <v>1</v>
      </c>
      <c r="E64" s="18"/>
      <c r="F64" s="16" t="s">
        <v>533</v>
      </c>
      <c r="G64" s="17" t="s">
        <v>463</v>
      </c>
      <c r="H64" s="24"/>
      <c r="I64" s="25"/>
      <c r="J64" s="26" t="n">
        <f aca="false">SUM(Ingredientes!$I$403:$I$413)</f>
        <v>9.9679693877551</v>
      </c>
      <c r="K64" s="26" t="n">
        <f aca="false">IFERROR(J64/D64,0)</f>
        <v>9.9679693877551</v>
      </c>
      <c r="L64" s="26" t="n">
        <f aca="false">IFERROR(K64/I64,0)</f>
        <v>0</v>
      </c>
      <c r="M64" s="27" t="n">
        <f aca="false">IFERROR(J64/IF(E64&gt;0,E64,SUM(Ingredientes!$E$403:$E$413)),0)</f>
        <v>11.8525200805649</v>
      </c>
      <c r="N64" s="28" t="n">
        <f aca="false">IFERROR(K64/H64,0)</f>
        <v>0</v>
      </c>
      <c r="O64" s="26" t="n">
        <v>9.968</v>
      </c>
      <c r="P64" s="26" t="n">
        <f aca="false">IFERROR(K64-O64,0)</f>
        <v>-3.06122448971991E-005</v>
      </c>
    </row>
    <row r="65" customFormat="false" ht="15" hidden="false" customHeight="false" outlineLevel="0" collapsed="false">
      <c r="A65" s="15" t="s">
        <v>534</v>
      </c>
      <c r="B65" s="15" t="s">
        <v>535</v>
      </c>
      <c r="C65" s="16" t="s">
        <v>439</v>
      </c>
      <c r="D65" s="23" t="n">
        <v>8</v>
      </c>
      <c r="E65" s="18"/>
      <c r="F65" s="16" t="s">
        <v>436</v>
      </c>
      <c r="G65" s="17" t="s">
        <v>463</v>
      </c>
      <c r="H65" s="24"/>
      <c r="I65" s="25"/>
      <c r="J65" s="26" t="n">
        <f aca="false">SUM(Ingredientes!$I$414:$I$417)</f>
        <v>37.9111161117078</v>
      </c>
      <c r="K65" s="26" t="n">
        <f aca="false">IFERROR(J65/D65,0)</f>
        <v>4.73888951396348</v>
      </c>
      <c r="L65" s="26" t="n">
        <f aca="false">IFERROR(K65/I65,0)</f>
        <v>0</v>
      </c>
      <c r="M65" s="27" t="n">
        <f aca="false">IFERROR(J65/IF(E65&gt;0,E65,SUM(Ingredientes!$E$414:$E$417)),0)</f>
        <v>22.3006565362987</v>
      </c>
      <c r="N65" s="28" t="n">
        <f aca="false">IFERROR(K65/H65,0)</f>
        <v>0</v>
      </c>
      <c r="O65" s="26" t="n">
        <v>3.8608</v>
      </c>
      <c r="P65" s="26" t="n">
        <f aca="false">IFERROR(K65-O65,0)</f>
        <v>0.87808951396348</v>
      </c>
    </row>
    <row r="66" customFormat="false" ht="15" hidden="false" customHeight="false" outlineLevel="0" collapsed="false">
      <c r="A66" s="15" t="s">
        <v>536</v>
      </c>
      <c r="B66" s="15" t="s">
        <v>535</v>
      </c>
      <c r="C66" s="16" t="s">
        <v>439</v>
      </c>
      <c r="D66" s="23" t="n">
        <v>8</v>
      </c>
      <c r="E66" s="18"/>
      <c r="F66" s="16" t="s">
        <v>436</v>
      </c>
      <c r="G66" s="17" t="s">
        <v>463</v>
      </c>
      <c r="H66" s="24"/>
      <c r="I66" s="25"/>
      <c r="J66" s="26" t="n">
        <f aca="false">SUM(Ingredientes!$I$418:$I$421)</f>
        <v>30.513138216971</v>
      </c>
      <c r="K66" s="26" t="n">
        <f aca="false">IFERROR(J66/D66,0)</f>
        <v>3.81414227712138</v>
      </c>
      <c r="L66" s="26" t="n">
        <f aca="false">IFERROR(K66/I66,0)</f>
        <v>0</v>
      </c>
      <c r="M66" s="27" t="n">
        <f aca="false">IFERROR(J66/IF(E66&gt;0,E66,SUM(Ingredientes!$E$418:$E$421)),0)</f>
        <v>17.9489048335124</v>
      </c>
      <c r="N66" s="28" t="n">
        <f aca="false">IFERROR(K66/H66,0)</f>
        <v>0</v>
      </c>
      <c r="O66" s="26" t="n">
        <v>2.4091</v>
      </c>
      <c r="P66" s="26" t="n">
        <f aca="false">IFERROR(K66-O66,0)</f>
        <v>1.40504227712138</v>
      </c>
    </row>
    <row r="67" customFormat="false" ht="15" hidden="false" customHeight="false" outlineLevel="0" collapsed="false">
      <c r="A67" s="15" t="s">
        <v>537</v>
      </c>
      <c r="B67" s="15" t="s">
        <v>535</v>
      </c>
      <c r="C67" s="16" t="s">
        <v>439</v>
      </c>
      <c r="D67" s="23" t="n">
        <v>10</v>
      </c>
      <c r="E67" s="18"/>
      <c r="F67" s="16" t="s">
        <v>436</v>
      </c>
      <c r="G67" s="17" t="s">
        <v>463</v>
      </c>
      <c r="H67" s="24"/>
      <c r="I67" s="25"/>
      <c r="J67" s="26" t="n">
        <f aca="false">SUM(Ingredientes!$I$422:$I$425)</f>
        <v>33.3837248509204</v>
      </c>
      <c r="K67" s="26" t="n">
        <f aca="false">IFERROR(J67/D67,0)</f>
        <v>3.33837248509204</v>
      </c>
      <c r="L67" s="26" t="n">
        <f aca="false">IFERROR(K67/I67,0)</f>
        <v>0</v>
      </c>
      <c r="M67" s="27" t="n">
        <f aca="false">IFERROR(J67/IF(E67&gt;0,E67,SUM(Ingredientes!$E$422:$E$425)),0)</f>
        <v>16.8604670964244</v>
      </c>
      <c r="N67" s="28" t="n">
        <f aca="false">IFERROR(K67/H67,0)</f>
        <v>0</v>
      </c>
      <c r="O67" s="26" t="n">
        <v>2.2846</v>
      </c>
      <c r="P67" s="26" t="n">
        <f aca="false">IFERROR(K67-O67,0)</f>
        <v>1.05377248509204</v>
      </c>
    </row>
    <row r="68" customFormat="false" ht="15" hidden="false" customHeight="false" outlineLevel="0" collapsed="false">
      <c r="A68" s="15" t="s">
        <v>538</v>
      </c>
      <c r="B68" s="15" t="s">
        <v>539</v>
      </c>
      <c r="C68" s="16" t="s">
        <v>439</v>
      </c>
      <c r="D68" s="23" t="n">
        <v>8</v>
      </c>
      <c r="E68" s="18"/>
      <c r="F68" s="16" t="s">
        <v>436</v>
      </c>
      <c r="G68" s="17" t="s">
        <v>463</v>
      </c>
      <c r="H68" s="24"/>
      <c r="I68" s="25"/>
      <c r="J68" s="26" t="n">
        <f aca="false">SUM(Ingredientes!$I$426:$I$428)</f>
        <v>14.4840823200859</v>
      </c>
      <c r="K68" s="26" t="n">
        <f aca="false">IFERROR(J68/D68,0)</f>
        <v>1.81051029001074</v>
      </c>
      <c r="L68" s="26" t="n">
        <f aca="false">IFERROR(K68/I68,0)</f>
        <v>0</v>
      </c>
      <c r="M68" s="27" t="n">
        <f aca="false">IFERROR(J68/IF(E68&gt;0,E68,SUM(Ingredientes!$E$426:$E$428)),0)</f>
        <v>13.7943641143676</v>
      </c>
      <c r="N68" s="28" t="n">
        <f aca="false">IFERROR(K68/H68,0)</f>
        <v>0</v>
      </c>
      <c r="O68" s="26" t="n">
        <v>1.108</v>
      </c>
      <c r="P68" s="26" t="n">
        <f aca="false">IFERROR(K68-O68,0)</f>
        <v>0.702510290010741</v>
      </c>
    </row>
    <row r="69" customFormat="false" ht="15" hidden="false" customHeight="false" outlineLevel="0" collapsed="false">
      <c r="A69" s="15" t="s">
        <v>540</v>
      </c>
      <c r="B69" s="15" t="s">
        <v>541</v>
      </c>
      <c r="C69" s="16" t="s">
        <v>444</v>
      </c>
      <c r="D69" s="23" t="n">
        <v>1</v>
      </c>
      <c r="E69" s="18"/>
      <c r="F69" s="16" t="s">
        <v>427</v>
      </c>
      <c r="G69" s="17" t="s">
        <v>463</v>
      </c>
      <c r="H69" s="24"/>
      <c r="I69" s="25"/>
      <c r="J69" s="26" t="n">
        <f aca="false">SUM(Ingredientes!$I$429:$I$430)</f>
        <v>63.4243697478992</v>
      </c>
      <c r="K69" s="26" t="n">
        <f aca="false">IFERROR(J69/D69,0)</f>
        <v>63.4243697478992</v>
      </c>
      <c r="L69" s="26" t="n">
        <f aca="false">IFERROR(K69/I69,0)</f>
        <v>0</v>
      </c>
      <c r="M69" s="27" t="n">
        <f aca="false">IFERROR(J69/IF(E69&gt;0,E69,SUM(Ingredientes!$E$429:$E$430)),0)</f>
        <v>55.1516258677384</v>
      </c>
      <c r="N69" s="28" t="n">
        <f aca="false">IFERROR(K69/H69,0)</f>
        <v>0</v>
      </c>
      <c r="O69" s="26" t="n">
        <v>63.4244</v>
      </c>
      <c r="P69" s="26" t="n">
        <f aca="false">IFERROR(K69-O69,0)</f>
        <v>-3.02521008421763E-005</v>
      </c>
    </row>
    <row r="70" customFormat="false" ht="15" hidden="false" customHeight="false" outlineLevel="0" collapsed="false">
      <c r="A70" s="15" t="s">
        <v>81</v>
      </c>
      <c r="B70" s="15" t="s">
        <v>82</v>
      </c>
      <c r="C70" s="16" t="s">
        <v>444</v>
      </c>
      <c r="D70" s="23" t="n">
        <v>1</v>
      </c>
      <c r="E70" s="18" t="n">
        <v>1.0632</v>
      </c>
      <c r="F70" s="16" t="s">
        <v>427</v>
      </c>
      <c r="G70" s="17" t="s">
        <v>463</v>
      </c>
      <c r="H70" s="24"/>
      <c r="I70" s="25"/>
      <c r="J70" s="26" t="n">
        <f aca="false">SUM(Ingredientes!$I$431:$I$437)</f>
        <v>17.8293096670247</v>
      </c>
      <c r="K70" s="26" t="n">
        <f aca="false">IFERROR(J70/D70,0)</f>
        <v>17.8293096670247</v>
      </c>
      <c r="L70" s="26" t="n">
        <f aca="false">IFERROR(K70/I70,0)</f>
        <v>0</v>
      </c>
      <c r="M70" s="27" t="n">
        <f aca="false">IFERROR(J70/IF(E70&gt;0,E70,SUM(Ingredientes!$E$431:$E$437)),0)</f>
        <v>16.7694786183453</v>
      </c>
      <c r="N70" s="28" t="n">
        <f aca="false">IFERROR(K70/H70,0)</f>
        <v>0</v>
      </c>
      <c r="O70" s="26" t="n">
        <v>17.8293</v>
      </c>
      <c r="P70" s="26" t="n">
        <f aca="false">IFERROR(K70-O70,0)</f>
        <v>9.66702470606151E-006</v>
      </c>
    </row>
    <row r="71" customFormat="false" ht="15" hidden="false" customHeight="false" outlineLevel="0" collapsed="false">
      <c r="A71" s="15" t="s">
        <v>542</v>
      </c>
      <c r="B71" s="15" t="s">
        <v>82</v>
      </c>
      <c r="C71" s="16" t="s">
        <v>444</v>
      </c>
      <c r="D71" s="23" t="n">
        <v>1</v>
      </c>
      <c r="E71" s="18"/>
      <c r="F71" s="16" t="s">
        <v>455</v>
      </c>
      <c r="G71" s="17" t="s">
        <v>463</v>
      </c>
      <c r="H71" s="24"/>
      <c r="I71" s="25"/>
      <c r="J71" s="26" t="n">
        <f aca="false">SUM(Ingredientes!$I$438:$I$438)</f>
        <v>0.568456902316789</v>
      </c>
      <c r="K71" s="26" t="n">
        <f aca="false">IFERROR(J71/D71,0)</f>
        <v>0.568456902316789</v>
      </c>
      <c r="L71" s="26" t="n">
        <f aca="false">IFERROR(K71/I71,0)</f>
        <v>0</v>
      </c>
      <c r="M71" s="27" t="n">
        <f aca="false">IFERROR(J71/IF(E71&gt;0,E71,SUM(Ingredientes!$E$438:$E$438)),0)</f>
        <v>14.2114225579197</v>
      </c>
      <c r="N71" s="28" t="n">
        <f aca="false">IFERROR(K71/H71,0)</f>
        <v>0</v>
      </c>
      <c r="O71" s="26" t="n">
        <v>0.5685</v>
      </c>
      <c r="P71" s="26" t="n">
        <f aca="false">IFERROR(K71-O71,0)</f>
        <v>-4.30976832106467E-005</v>
      </c>
    </row>
    <row r="72" customFormat="false" ht="15" hidden="false" customHeight="false" outlineLevel="0" collapsed="false">
      <c r="A72" s="15" t="s">
        <v>543</v>
      </c>
      <c r="B72" s="15" t="s">
        <v>544</v>
      </c>
      <c r="C72" s="16" t="s">
        <v>545</v>
      </c>
      <c r="D72" s="23" t="n">
        <v>1</v>
      </c>
      <c r="E72" s="18"/>
      <c r="F72" s="16" t="s">
        <v>455</v>
      </c>
      <c r="G72" s="17" t="s">
        <v>463</v>
      </c>
      <c r="H72" s="24"/>
      <c r="I72" s="25"/>
      <c r="J72" s="26" t="n">
        <f aca="false">SUM(Ingredientes!$I$439:$I$443)</f>
        <v>1.7344442601163</v>
      </c>
      <c r="K72" s="26" t="n">
        <f aca="false">IFERROR(J72/D72,0)</f>
        <v>1.7344442601163</v>
      </c>
      <c r="L72" s="26" t="n">
        <f aca="false">IFERROR(K72/I72,0)</f>
        <v>0</v>
      </c>
      <c r="M72" s="27" t="n">
        <f aca="false">IFERROR(J72/IF(E72&gt;0,E72,SUM(Ingredientes!$E$439:$E$443)),0)</f>
        <v>9.91111005780741</v>
      </c>
      <c r="N72" s="28" t="n">
        <f aca="false">IFERROR(K72/H72,0)</f>
        <v>0</v>
      </c>
      <c r="O72" s="26" t="n">
        <v>0.7863</v>
      </c>
      <c r="P72" s="26" t="n">
        <f aca="false">IFERROR(K72-O72,0)</f>
        <v>0.948144260116297</v>
      </c>
    </row>
    <row r="73" customFormat="false" ht="15" hidden="false" customHeight="false" outlineLevel="0" collapsed="false">
      <c r="A73" s="15" t="s">
        <v>546</v>
      </c>
      <c r="B73" s="15" t="s">
        <v>547</v>
      </c>
      <c r="C73" s="16" t="s">
        <v>545</v>
      </c>
      <c r="D73" s="23" t="n">
        <v>1</v>
      </c>
      <c r="E73" s="18"/>
      <c r="F73" s="16" t="s">
        <v>455</v>
      </c>
      <c r="G73" s="17" t="s">
        <v>463</v>
      </c>
      <c r="H73" s="24"/>
      <c r="I73" s="25"/>
      <c r="J73" s="26" t="n">
        <f aca="false">SUM(Ingredientes!$I$444:$I$446)</f>
        <v>0.440177467818831</v>
      </c>
      <c r="K73" s="26" t="n">
        <f aca="false">IFERROR(J73/D73,0)</f>
        <v>0.440177467818831</v>
      </c>
      <c r="L73" s="26" t="n">
        <f aca="false">IFERROR(K73/I73,0)</f>
        <v>0</v>
      </c>
      <c r="M73" s="27" t="n">
        <f aca="false">IFERROR(J73/IF(E73&gt;0,E73,SUM(Ingredientes!$E$444:$E$446)),0)</f>
        <v>5.86903290425108</v>
      </c>
      <c r="N73" s="28" t="n">
        <f aca="false">IFERROR(K73/H73,0)</f>
        <v>0</v>
      </c>
      <c r="O73" s="26" t="n">
        <v>0.4402</v>
      </c>
      <c r="P73" s="26" t="n">
        <f aca="false">IFERROR(K73-O73,0)</f>
        <v>-2.25321811691548E-005</v>
      </c>
    </row>
    <row r="74" customFormat="false" ht="15" hidden="false" customHeight="false" outlineLevel="0" collapsed="false">
      <c r="A74" s="15" t="s">
        <v>548</v>
      </c>
      <c r="B74" s="15" t="s">
        <v>549</v>
      </c>
      <c r="C74" s="16" t="s">
        <v>461</v>
      </c>
      <c r="D74" s="23" t="n">
        <v>1</v>
      </c>
      <c r="E74" s="18"/>
      <c r="F74" s="16" t="s">
        <v>462</v>
      </c>
      <c r="G74" s="17" t="s">
        <v>463</v>
      </c>
      <c r="H74" s="24"/>
      <c r="I74" s="25"/>
      <c r="J74" s="26" t="n">
        <f aca="false">SUM(Ingredientes!$I$447:$I$451)</f>
        <v>0.886854517245495</v>
      </c>
      <c r="K74" s="26" t="n">
        <f aca="false">IFERROR(J74/D74,0)</f>
        <v>0.886854517245495</v>
      </c>
      <c r="L74" s="26" t="n">
        <f aca="false">IFERROR(K74/I74,0)</f>
        <v>0</v>
      </c>
      <c r="M74" s="27" t="n">
        <f aca="false">IFERROR(J74/IF(E74&gt;0,E74,SUM(Ingredientes!$E$447:$E$451)),0)</f>
        <v>2.55577670675935</v>
      </c>
      <c r="N74" s="28" t="n">
        <f aca="false">IFERROR(K74/H74,0)</f>
        <v>0</v>
      </c>
      <c r="O74" s="26" t="n">
        <v>0.8869</v>
      </c>
      <c r="P74" s="26" t="n">
        <f aca="false">IFERROR(K74-O74,0)</f>
        <v>-4.54827545053327E-005</v>
      </c>
    </row>
    <row r="75" customFormat="false" ht="15" hidden="false" customHeight="false" outlineLevel="0" collapsed="false">
      <c r="A75" s="15" t="s">
        <v>550</v>
      </c>
      <c r="B75" s="15" t="s">
        <v>551</v>
      </c>
      <c r="C75" s="16" t="s">
        <v>439</v>
      </c>
      <c r="D75" s="23" t="n">
        <v>1</v>
      </c>
      <c r="E75" s="18"/>
      <c r="F75" s="16" t="s">
        <v>458</v>
      </c>
      <c r="G75" s="17" t="s">
        <v>463</v>
      </c>
      <c r="H75" s="24"/>
      <c r="I75" s="25"/>
      <c r="J75" s="26" t="n">
        <f aca="false">SUM(Ingredientes!$I$452:$I$460)</f>
        <v>41.531354405808</v>
      </c>
      <c r="K75" s="26" t="n">
        <f aca="false">IFERROR(J75/D75,0)</f>
        <v>41.531354405808</v>
      </c>
      <c r="L75" s="26" t="n">
        <f aca="false">IFERROR(K75/I75,0)</f>
        <v>0</v>
      </c>
      <c r="M75" s="27" t="n">
        <f aca="false">IFERROR(J75/IF(E75&gt;0,E75,SUM(Ingredientes!$E$452:$E$460)),0)</f>
        <v>24.9737549042742</v>
      </c>
      <c r="N75" s="28" t="n">
        <f aca="false">IFERROR(K75/H75,0)</f>
        <v>0</v>
      </c>
      <c r="O75" s="26" t="n">
        <v>41.5314</v>
      </c>
      <c r="P75" s="26" t="n">
        <f aca="false">IFERROR(K75-O75,0)</f>
        <v>-4.55941920236569E-005</v>
      </c>
    </row>
    <row r="76" customFormat="false" ht="15" hidden="false" customHeight="false" outlineLevel="0" collapsed="false">
      <c r="A76" s="15" t="s">
        <v>552</v>
      </c>
      <c r="B76" s="15" t="s">
        <v>553</v>
      </c>
      <c r="C76" s="16" t="s">
        <v>439</v>
      </c>
      <c r="D76" s="23" t="n">
        <v>20</v>
      </c>
      <c r="E76" s="18"/>
      <c r="F76" s="16" t="s">
        <v>427</v>
      </c>
      <c r="G76" s="17" t="s">
        <v>463</v>
      </c>
      <c r="H76" s="24"/>
      <c r="I76" s="25"/>
      <c r="J76" s="26" t="n">
        <f aca="false">SUM(Ingredientes!$I$461:$I$466)</f>
        <v>24.1425149324422</v>
      </c>
      <c r="K76" s="26" t="n">
        <f aca="false">IFERROR(J76/D76,0)</f>
        <v>1.20712574662211</v>
      </c>
      <c r="L76" s="26" t="n">
        <f aca="false">IFERROR(K76/I76,0)</f>
        <v>0</v>
      </c>
      <c r="M76" s="27" t="n">
        <f aca="false">IFERROR(J76/IF(E76&gt;0,E76,SUM(Ingredientes!$E$461:$E$466)),0)</f>
        <v>17.8833443944016</v>
      </c>
      <c r="N76" s="28" t="n">
        <f aca="false">IFERROR(K76/H76,0)</f>
        <v>0</v>
      </c>
      <c r="O76" s="26" t="n">
        <v>1.1916</v>
      </c>
      <c r="P76" s="26" t="n">
        <f aca="false">IFERROR(K76-O76,0)</f>
        <v>0.0155257466221099</v>
      </c>
    </row>
  </sheetData>
  <dataValidations count="2">
    <dataValidation allowBlank="true" errorStyle="stop" operator="between" showDropDown="false" showErrorMessage="false" showInputMessage="false" sqref="C4:C116" type="list">
      <formula1>Listas!$A$4:$A$11</formula1>
      <formula2>0</formula2>
    </dataValidation>
    <dataValidation allowBlank="true" errorStyle="stop" operator="between" showDropDown="false" showErrorMessage="false" showInputMessage="false" sqref="G4:G116" type="list">
      <formula1>Listas!$D$4:$D$5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28"/>
    <col collapsed="false" customWidth="true" hidden="false" outlineLevel="0" max="4" min="4" style="0" width="30"/>
    <col collapsed="false" customWidth="true" hidden="false" outlineLevel="0" max="6" min="5" style="0" width="13"/>
    <col collapsed="false" customWidth="true" hidden="false" outlineLevel="0" max="7" min="7" style="0" width="12"/>
    <col collapsed="false" customWidth="true" hidden="false" outlineLevel="0" max="8" min="8" style="0" width="14"/>
    <col collapsed="false" customWidth="true" hidden="false" outlineLevel="0" max="9" min="9" style="0" width="13"/>
  </cols>
  <sheetData>
    <row r="1" customFormat="false" ht="21.75" hidden="false" customHeight="true" outlineLevel="0" collapsed="false">
      <c r="A1" s="5" t="s">
        <v>554</v>
      </c>
    </row>
    <row r="2" customFormat="false" ht="15" hidden="false" customHeight="false" outlineLevel="0" collapsed="false">
      <c r="A2" s="6" t="s">
        <v>555</v>
      </c>
    </row>
    <row r="3" customFormat="false" ht="30" hidden="false" customHeight="true" outlineLevel="0" collapsed="false">
      <c r="A3" s="7" t="s">
        <v>556</v>
      </c>
      <c r="B3" s="7" t="s">
        <v>557</v>
      </c>
      <c r="C3" s="7" t="s">
        <v>558</v>
      </c>
      <c r="D3" s="7" t="s">
        <v>559</v>
      </c>
      <c r="E3" s="7" t="s">
        <v>560</v>
      </c>
      <c r="F3" s="7" t="s">
        <v>42</v>
      </c>
      <c r="G3" s="7" t="s">
        <v>40</v>
      </c>
      <c r="H3" s="7" t="s">
        <v>43</v>
      </c>
      <c r="I3" s="7" t="s">
        <v>561</v>
      </c>
    </row>
    <row r="4" customFormat="false" ht="15" hidden="false" customHeight="false" outlineLevel="0" collapsed="false">
      <c r="A4" s="15" t="s">
        <v>424</v>
      </c>
      <c r="B4" s="15" t="s">
        <v>425</v>
      </c>
      <c r="C4" s="16" t="s">
        <v>159</v>
      </c>
      <c r="D4" s="15" t="s">
        <v>160</v>
      </c>
      <c r="E4" s="18" t="n">
        <v>2</v>
      </c>
      <c r="F4" s="29" t="n">
        <f aca="false">IFERROR(INDEX(Insumos!$F$4:$F$168,MATCH($C4,Insumos!$A$4:$A$168,0)),1)</f>
        <v>0.98</v>
      </c>
      <c r="G4" s="30" t="n">
        <f aca="false">IFERROR(E4/F4,0)</f>
        <v>2.04081632653061</v>
      </c>
      <c r="H4" s="31" t="n">
        <f aca="false">IFERROR(INDEX(Insumos!$G$20:$G$168,MATCH($C4,Insumos!$A$20:$A$168,0)),0)</f>
        <v>10</v>
      </c>
      <c r="I4" s="27" t="n">
        <f aca="false">G4*H4</f>
        <v>20.4081632653061</v>
      </c>
    </row>
    <row r="5" customFormat="false" ht="15" hidden="false" customHeight="false" outlineLevel="0" collapsed="false">
      <c r="A5" s="15" t="s">
        <v>424</v>
      </c>
      <c r="B5" s="15" t="s">
        <v>425</v>
      </c>
      <c r="C5" s="16" t="s">
        <v>137</v>
      </c>
      <c r="D5" s="15" t="s">
        <v>138</v>
      </c>
      <c r="E5" s="18" t="n">
        <v>1</v>
      </c>
      <c r="F5" s="29" t="n">
        <f aca="false">IFERROR(INDEX(Insumos!$F$4:$F$168,MATCH($C5,Insumos!$A$4:$A$168,0)),1)</f>
        <v>0.861427967891846</v>
      </c>
      <c r="G5" s="30" t="n">
        <f aca="false">IFERROR(E5/F5,0)</f>
        <v>1.16086316821972</v>
      </c>
      <c r="H5" s="31" t="n">
        <f aca="false">IFERROR(INDEX(Insumos!$G$20:$G$168,MATCH($C5,Insumos!$A$20:$A$168,0)),0)</f>
        <v>5.69</v>
      </c>
      <c r="I5" s="27" t="n">
        <f aca="false">G5*H5</f>
        <v>6.60531142717018</v>
      </c>
    </row>
    <row r="6" customFormat="false" ht="15" hidden="false" customHeight="false" outlineLevel="0" collapsed="false">
      <c r="A6" s="15" t="s">
        <v>424</v>
      </c>
      <c r="B6" s="15" t="s">
        <v>425</v>
      </c>
      <c r="C6" s="16" t="s">
        <v>366</v>
      </c>
      <c r="D6" s="15" t="s">
        <v>367</v>
      </c>
      <c r="E6" s="18" t="n">
        <v>0.02</v>
      </c>
      <c r="F6" s="29" t="n">
        <f aca="false">IFERROR(INDEX(Insumos!$F$4:$F$168,MATCH($C6,Insumos!$A$4:$A$168,0)),1)</f>
        <v>0.98</v>
      </c>
      <c r="G6" s="30" t="n">
        <f aca="false">IFERROR(E6/F6,0)</f>
        <v>0.0204081632653061</v>
      </c>
      <c r="H6" s="31" t="n">
        <f aca="false">IFERROR(INDEX(Insumos!$G$20:$G$168,MATCH($C6,Insumos!$A$20:$A$168,0)),0)</f>
        <v>5</v>
      </c>
      <c r="I6" s="27" t="n">
        <f aca="false">G6*H6</f>
        <v>0.102040816326531</v>
      </c>
    </row>
    <row r="7" customFormat="false" ht="15" hidden="false" customHeight="false" outlineLevel="0" collapsed="false">
      <c r="A7" s="15" t="s">
        <v>424</v>
      </c>
      <c r="B7" s="15" t="s">
        <v>425</v>
      </c>
      <c r="C7" s="16" t="s">
        <v>340</v>
      </c>
      <c r="D7" s="15" t="s">
        <v>341</v>
      </c>
      <c r="E7" s="18" t="n">
        <v>0.005</v>
      </c>
      <c r="F7" s="29" t="n">
        <f aca="false">IFERROR(INDEX(Insumos!$F$4:$F$168,MATCH($C7,Insumos!$A$4:$A$168,0)),1)</f>
        <v>0.95</v>
      </c>
      <c r="G7" s="30" t="n">
        <f aca="false">IFERROR(E7/F7,0)</f>
        <v>0.00526315789473684</v>
      </c>
      <c r="H7" s="31" t="n">
        <f aca="false">IFERROR(INDEX(Insumos!$G$20:$G$168,MATCH($C7,Insumos!$A$20:$A$168,0)),0)</f>
        <v>25.16</v>
      </c>
      <c r="I7" s="27" t="n">
        <f aca="false">G7*H7</f>
        <v>0.132421052631579</v>
      </c>
    </row>
    <row r="8" customFormat="false" ht="15" hidden="false" customHeight="false" outlineLevel="0" collapsed="false">
      <c r="A8" s="15" t="s">
        <v>424</v>
      </c>
      <c r="B8" s="15" t="s">
        <v>425</v>
      </c>
      <c r="C8" s="16" t="s">
        <v>206</v>
      </c>
      <c r="D8" s="15" t="s">
        <v>207</v>
      </c>
      <c r="E8" s="18" t="n">
        <v>0.01</v>
      </c>
      <c r="F8" s="29" t="n">
        <f aca="false">IFERROR(INDEX(Insumos!$F$4:$F$168,MATCH($C8,Insumos!$A$4:$A$168,0)),1)</f>
        <v>0.98</v>
      </c>
      <c r="G8" s="30" t="n">
        <f aca="false">IFERROR(E8/F8,0)</f>
        <v>0.0102040816326531</v>
      </c>
      <c r="H8" s="31" t="n">
        <f aca="false">IFERROR(INDEX(Insumos!$G$20:$G$168,MATCH($C8,Insumos!$A$20:$A$168,0)),0)</f>
        <v>9.54</v>
      </c>
      <c r="I8" s="27" t="n">
        <f aca="false">G8*H8</f>
        <v>0.0973469387755102</v>
      </c>
    </row>
    <row r="9" customFormat="false" ht="15" hidden="false" customHeight="false" outlineLevel="0" collapsed="false">
      <c r="A9" s="15" t="s">
        <v>424</v>
      </c>
      <c r="B9" s="15" t="s">
        <v>425</v>
      </c>
      <c r="C9" s="16" t="s">
        <v>327</v>
      </c>
      <c r="D9" s="15" t="s">
        <v>328</v>
      </c>
      <c r="E9" s="18" t="n">
        <v>0.005</v>
      </c>
      <c r="F9" s="29" t="n">
        <f aca="false">IFERROR(INDEX(Insumos!$F$4:$F$168,MATCH($C9,Insumos!$A$4:$A$168,0)),1)</f>
        <v>0.98</v>
      </c>
      <c r="G9" s="30" t="n">
        <f aca="false">IFERROR(E9/F9,0)</f>
        <v>0.00510204081632653</v>
      </c>
      <c r="H9" s="31" t="n">
        <f aca="false">IFERROR(INDEX(Insumos!$G$20:$G$168,MATCH($C9,Insumos!$A$20:$A$168,0)),0)</f>
        <v>105</v>
      </c>
      <c r="I9" s="27" t="n">
        <f aca="false">G9*H9</f>
        <v>0.535714285714286</v>
      </c>
    </row>
    <row r="10" customFormat="false" ht="15" hidden="false" customHeight="false" outlineLevel="0" collapsed="false">
      <c r="A10" s="15" t="s">
        <v>424</v>
      </c>
      <c r="B10" s="15" t="s">
        <v>425</v>
      </c>
      <c r="C10" s="16" t="s">
        <v>54</v>
      </c>
      <c r="D10" s="15" t="s">
        <v>55</v>
      </c>
      <c r="E10" s="18" t="n">
        <v>0.45</v>
      </c>
      <c r="F10" s="29" t="n">
        <f aca="false">IFERROR(INDEX(Insumos!$F$4:$F$168,MATCH($C10,Insumos!$A$4:$A$168,0)),1)</f>
        <v>0.5</v>
      </c>
      <c r="G10" s="30" t="n">
        <f aca="false">IFERROR(E10/F10,0)</f>
        <v>0.9</v>
      </c>
      <c r="H10" s="31" t="n">
        <f aca="false">Insumos!$G$6</f>
        <v>22.9029433703306</v>
      </c>
      <c r="I10" s="27" t="n">
        <f aca="false">G10*H10</f>
        <v>20.6126490332975</v>
      </c>
    </row>
    <row r="11" customFormat="false" ht="15" hidden="false" customHeight="false" outlineLevel="0" collapsed="false">
      <c r="A11" s="15" t="s">
        <v>429</v>
      </c>
      <c r="B11" s="15" t="s">
        <v>430</v>
      </c>
      <c r="C11" s="16" t="s">
        <v>159</v>
      </c>
      <c r="D11" s="15" t="s">
        <v>160</v>
      </c>
      <c r="E11" s="18" t="n">
        <v>2</v>
      </c>
      <c r="F11" s="29" t="n">
        <f aca="false">IFERROR(INDEX(Insumos!$F$4:$F$168,MATCH($C11,Insumos!$A$4:$A$168,0)),1)</f>
        <v>0.98</v>
      </c>
      <c r="G11" s="30" t="n">
        <f aca="false">IFERROR(E11/F11,0)</f>
        <v>2.04081632653061</v>
      </c>
      <c r="H11" s="31" t="n">
        <f aca="false">IFERROR(INDEX(Insumos!$G$20:$G$168,MATCH($C11,Insumos!$A$20:$A$168,0)),0)</f>
        <v>10</v>
      </c>
      <c r="I11" s="27" t="n">
        <f aca="false">G11*H11</f>
        <v>20.4081632653061</v>
      </c>
    </row>
    <row r="12" customFormat="false" ht="15" hidden="false" customHeight="false" outlineLevel="0" collapsed="false">
      <c r="A12" s="15" t="s">
        <v>429</v>
      </c>
      <c r="B12" s="15" t="s">
        <v>430</v>
      </c>
      <c r="C12" s="16" t="s">
        <v>86</v>
      </c>
      <c r="D12" s="15" t="s">
        <v>87</v>
      </c>
      <c r="E12" s="18" t="n">
        <v>1</v>
      </c>
      <c r="F12" s="29" t="n">
        <f aca="false">IFERROR(INDEX(Insumos!$F$4:$F$168,MATCH($C12,Insumos!$A$4:$A$168,0)),1)</f>
        <v>0.97</v>
      </c>
      <c r="G12" s="30" t="n">
        <f aca="false">IFERROR(E12/F12,0)</f>
        <v>1.03092783505155</v>
      </c>
      <c r="H12" s="31" t="n">
        <f aca="false">IFERROR(INDEX(Insumos!$G$20:$G$168,MATCH($C12,Insumos!$A$20:$A$168,0)),0)</f>
        <v>6</v>
      </c>
      <c r="I12" s="27" t="n">
        <f aca="false">G12*H12</f>
        <v>6.18556701030928</v>
      </c>
    </row>
    <row r="13" customFormat="false" ht="15" hidden="false" customHeight="false" outlineLevel="0" collapsed="false">
      <c r="A13" s="15" t="s">
        <v>429</v>
      </c>
      <c r="B13" s="15" t="s">
        <v>430</v>
      </c>
      <c r="C13" s="16" t="s">
        <v>366</v>
      </c>
      <c r="D13" s="15" t="s">
        <v>367</v>
      </c>
      <c r="E13" s="18" t="n">
        <v>0.02</v>
      </c>
      <c r="F13" s="29" t="n">
        <f aca="false">IFERROR(INDEX(Insumos!$F$4:$F$168,MATCH($C13,Insumos!$A$4:$A$168,0)),1)</f>
        <v>0.98</v>
      </c>
      <c r="G13" s="30" t="n">
        <f aca="false">IFERROR(E13/F13,0)</f>
        <v>0.0204081632653061</v>
      </c>
      <c r="H13" s="31" t="n">
        <f aca="false">IFERROR(INDEX(Insumos!$G$20:$G$168,MATCH($C13,Insumos!$A$20:$A$168,0)),0)</f>
        <v>5</v>
      </c>
      <c r="I13" s="27" t="n">
        <f aca="false">G13*H13</f>
        <v>0.102040816326531</v>
      </c>
    </row>
    <row r="14" customFormat="false" ht="15" hidden="false" customHeight="false" outlineLevel="0" collapsed="false">
      <c r="A14" s="15" t="s">
        <v>429</v>
      </c>
      <c r="B14" s="15" t="s">
        <v>430</v>
      </c>
      <c r="C14" s="16" t="s">
        <v>340</v>
      </c>
      <c r="D14" s="15" t="s">
        <v>341</v>
      </c>
      <c r="E14" s="18" t="n">
        <v>0.005</v>
      </c>
      <c r="F14" s="29" t="n">
        <f aca="false">IFERROR(INDEX(Insumos!$F$4:$F$168,MATCH($C14,Insumos!$A$4:$A$168,0)),1)</f>
        <v>0.95</v>
      </c>
      <c r="G14" s="30" t="n">
        <f aca="false">IFERROR(E14/F14,0)</f>
        <v>0.00526315789473684</v>
      </c>
      <c r="H14" s="31" t="n">
        <f aca="false">IFERROR(INDEX(Insumos!$G$20:$G$168,MATCH($C14,Insumos!$A$20:$A$168,0)),0)</f>
        <v>25.16</v>
      </c>
      <c r="I14" s="27" t="n">
        <f aca="false">G14*H14</f>
        <v>0.132421052631579</v>
      </c>
    </row>
    <row r="15" customFormat="false" ht="15" hidden="false" customHeight="false" outlineLevel="0" collapsed="false">
      <c r="A15" s="15" t="s">
        <v>429</v>
      </c>
      <c r="B15" s="15" t="s">
        <v>430</v>
      </c>
      <c r="C15" s="16" t="s">
        <v>206</v>
      </c>
      <c r="D15" s="15" t="s">
        <v>207</v>
      </c>
      <c r="E15" s="18" t="n">
        <v>0.01</v>
      </c>
      <c r="F15" s="29" t="n">
        <f aca="false">IFERROR(INDEX(Insumos!$F$4:$F$168,MATCH($C15,Insumos!$A$4:$A$168,0)),1)</f>
        <v>0.98</v>
      </c>
      <c r="G15" s="30" t="n">
        <f aca="false">IFERROR(E15/F15,0)</f>
        <v>0.0102040816326531</v>
      </c>
      <c r="H15" s="31" t="n">
        <f aca="false">IFERROR(INDEX(Insumos!$G$20:$G$168,MATCH($C15,Insumos!$A$20:$A$168,0)),0)</f>
        <v>9.54</v>
      </c>
      <c r="I15" s="27" t="n">
        <f aca="false">G15*H15</f>
        <v>0.0973469387755102</v>
      </c>
    </row>
    <row r="16" customFormat="false" ht="15" hidden="false" customHeight="false" outlineLevel="0" collapsed="false">
      <c r="A16" s="15" t="s">
        <v>429</v>
      </c>
      <c r="B16" s="15" t="s">
        <v>430</v>
      </c>
      <c r="C16" s="16" t="s">
        <v>327</v>
      </c>
      <c r="D16" s="15" t="s">
        <v>328</v>
      </c>
      <c r="E16" s="18" t="n">
        <v>0.005</v>
      </c>
      <c r="F16" s="29" t="n">
        <f aca="false">IFERROR(INDEX(Insumos!$F$4:$F$168,MATCH($C16,Insumos!$A$4:$A$168,0)),1)</f>
        <v>0.98</v>
      </c>
      <c r="G16" s="30" t="n">
        <f aca="false">IFERROR(E16/F16,0)</f>
        <v>0.00510204081632653</v>
      </c>
      <c r="H16" s="31" t="n">
        <f aca="false">IFERROR(INDEX(Insumos!$G$20:$G$168,MATCH($C16,Insumos!$A$20:$A$168,0)),0)</f>
        <v>105</v>
      </c>
      <c r="I16" s="27" t="n">
        <f aca="false">G16*H16</f>
        <v>0.535714285714286</v>
      </c>
    </row>
    <row r="17" customFormat="false" ht="15" hidden="false" customHeight="false" outlineLevel="0" collapsed="false">
      <c r="A17" s="15" t="s">
        <v>429</v>
      </c>
      <c r="B17" s="15" t="s">
        <v>430</v>
      </c>
      <c r="C17" s="16" t="s">
        <v>54</v>
      </c>
      <c r="D17" s="15" t="s">
        <v>55</v>
      </c>
      <c r="E17" s="18" t="n">
        <v>0.45</v>
      </c>
      <c r="F17" s="29" t="n">
        <f aca="false">IFERROR(INDEX(Insumos!$F$4:$F$168,MATCH($C17,Insumos!$A$4:$A$168,0)),1)</f>
        <v>0.5</v>
      </c>
      <c r="G17" s="30" t="n">
        <f aca="false">IFERROR(E17/F17,0)</f>
        <v>0.9</v>
      </c>
      <c r="H17" s="31" t="n">
        <f aca="false">Insumos!$G$6</f>
        <v>22.9029433703306</v>
      </c>
      <c r="I17" s="27" t="n">
        <f aca="false">G17*H17</f>
        <v>20.6126490332975</v>
      </c>
    </row>
    <row r="18" customFormat="false" ht="15" hidden="false" customHeight="false" outlineLevel="0" collapsed="false">
      <c r="A18" s="15" t="s">
        <v>431</v>
      </c>
      <c r="B18" s="15" t="s">
        <v>432</v>
      </c>
      <c r="C18" s="16" t="s">
        <v>159</v>
      </c>
      <c r="D18" s="15" t="s">
        <v>160</v>
      </c>
      <c r="E18" s="18" t="n">
        <v>2</v>
      </c>
      <c r="F18" s="29" t="n">
        <f aca="false">IFERROR(INDEX(Insumos!$F$4:$F$168,MATCH($C18,Insumos!$A$4:$A$168,0)),1)</f>
        <v>0.98</v>
      </c>
      <c r="G18" s="30" t="n">
        <f aca="false">IFERROR(E18/F18,0)</f>
        <v>2.04081632653061</v>
      </c>
      <c r="H18" s="31" t="n">
        <f aca="false">IFERROR(INDEX(Insumos!$G$20:$G$168,MATCH($C18,Insumos!$A$20:$A$168,0)),0)</f>
        <v>10</v>
      </c>
      <c r="I18" s="27" t="n">
        <f aca="false">G18*H18</f>
        <v>20.4081632653061</v>
      </c>
    </row>
    <row r="19" customFormat="false" ht="15" hidden="false" customHeight="false" outlineLevel="0" collapsed="false">
      <c r="A19" s="15" t="s">
        <v>431</v>
      </c>
      <c r="B19" s="15" t="s">
        <v>432</v>
      </c>
      <c r="C19" s="16" t="s">
        <v>139</v>
      </c>
      <c r="D19" s="15" t="s">
        <v>140</v>
      </c>
      <c r="E19" s="18" t="n">
        <v>0.25</v>
      </c>
      <c r="F19" s="29" t="n">
        <f aca="false">IFERROR(INDEX(Insumos!$F$4:$F$168,MATCH($C19,Insumos!$A$4:$A$168,0)),1)</f>
        <v>0.8</v>
      </c>
      <c r="G19" s="30" t="n">
        <f aca="false">IFERROR(E19/F19,0)</f>
        <v>0.3125</v>
      </c>
      <c r="H19" s="31" t="n">
        <f aca="false">IFERROR(INDEX(Insumos!$G$20:$G$168,MATCH($C19,Insumos!$A$20:$A$168,0)),0)</f>
        <v>6</v>
      </c>
      <c r="I19" s="27" t="n">
        <f aca="false">G19*H19</f>
        <v>1.875</v>
      </c>
    </row>
    <row r="20" customFormat="false" ht="15" hidden="false" customHeight="false" outlineLevel="0" collapsed="false">
      <c r="A20" s="15" t="s">
        <v>431</v>
      </c>
      <c r="B20" s="15" t="s">
        <v>432</v>
      </c>
      <c r="C20" s="16" t="s">
        <v>366</v>
      </c>
      <c r="D20" s="15" t="s">
        <v>367</v>
      </c>
      <c r="E20" s="18" t="n">
        <v>0.02</v>
      </c>
      <c r="F20" s="29" t="n">
        <f aca="false">IFERROR(INDEX(Insumos!$F$4:$F$168,MATCH($C20,Insumos!$A$4:$A$168,0)),1)</f>
        <v>0.98</v>
      </c>
      <c r="G20" s="30" t="n">
        <f aca="false">IFERROR(E20/F20,0)</f>
        <v>0.0204081632653061</v>
      </c>
      <c r="H20" s="31" t="n">
        <f aca="false">IFERROR(INDEX(Insumos!$G$20:$G$168,MATCH($C20,Insumos!$A$20:$A$168,0)),0)</f>
        <v>5</v>
      </c>
      <c r="I20" s="27" t="n">
        <f aca="false">G20*H20</f>
        <v>0.102040816326531</v>
      </c>
    </row>
    <row r="21" customFormat="false" ht="15" hidden="false" customHeight="false" outlineLevel="0" collapsed="false">
      <c r="A21" s="15" t="s">
        <v>431</v>
      </c>
      <c r="B21" s="15" t="s">
        <v>432</v>
      </c>
      <c r="C21" s="16" t="s">
        <v>340</v>
      </c>
      <c r="D21" s="15" t="s">
        <v>341</v>
      </c>
      <c r="E21" s="18" t="n">
        <v>0.005</v>
      </c>
      <c r="F21" s="29" t="n">
        <f aca="false">IFERROR(INDEX(Insumos!$F$4:$F$168,MATCH($C21,Insumos!$A$4:$A$168,0)),1)</f>
        <v>0.95</v>
      </c>
      <c r="G21" s="30" t="n">
        <f aca="false">IFERROR(E21/F21,0)</f>
        <v>0.00526315789473684</v>
      </c>
      <c r="H21" s="31" t="n">
        <f aca="false">IFERROR(INDEX(Insumos!$G$20:$G$168,MATCH($C21,Insumos!$A$20:$A$168,0)),0)</f>
        <v>25.16</v>
      </c>
      <c r="I21" s="27" t="n">
        <f aca="false">G21*H21</f>
        <v>0.132421052631579</v>
      </c>
    </row>
    <row r="22" customFormat="false" ht="15" hidden="false" customHeight="false" outlineLevel="0" collapsed="false">
      <c r="A22" s="15" t="s">
        <v>431</v>
      </c>
      <c r="B22" s="15" t="s">
        <v>432</v>
      </c>
      <c r="C22" s="16" t="s">
        <v>206</v>
      </c>
      <c r="D22" s="15" t="s">
        <v>207</v>
      </c>
      <c r="E22" s="18" t="n">
        <v>0.01</v>
      </c>
      <c r="F22" s="29" t="n">
        <f aca="false">IFERROR(INDEX(Insumos!$F$4:$F$168,MATCH($C22,Insumos!$A$4:$A$168,0)),1)</f>
        <v>0.98</v>
      </c>
      <c r="G22" s="30" t="n">
        <f aca="false">IFERROR(E22/F22,0)</f>
        <v>0.0102040816326531</v>
      </c>
      <c r="H22" s="31" t="n">
        <f aca="false">IFERROR(INDEX(Insumos!$G$20:$G$168,MATCH($C22,Insumos!$A$20:$A$168,0)),0)</f>
        <v>9.54</v>
      </c>
      <c r="I22" s="27" t="n">
        <f aca="false">G22*H22</f>
        <v>0.0973469387755102</v>
      </c>
    </row>
    <row r="23" customFormat="false" ht="15" hidden="false" customHeight="false" outlineLevel="0" collapsed="false">
      <c r="A23" s="15" t="s">
        <v>431</v>
      </c>
      <c r="B23" s="15" t="s">
        <v>432</v>
      </c>
      <c r="C23" s="16" t="s">
        <v>327</v>
      </c>
      <c r="D23" s="15" t="s">
        <v>328</v>
      </c>
      <c r="E23" s="18" t="n">
        <v>0.005</v>
      </c>
      <c r="F23" s="29" t="n">
        <f aca="false">IFERROR(INDEX(Insumos!$F$4:$F$168,MATCH($C23,Insumos!$A$4:$A$168,0)),1)</f>
        <v>0.98</v>
      </c>
      <c r="G23" s="30" t="n">
        <f aca="false">IFERROR(E23/F23,0)</f>
        <v>0.00510204081632653</v>
      </c>
      <c r="H23" s="31" t="n">
        <f aca="false">IFERROR(INDEX(Insumos!$G$20:$G$168,MATCH($C23,Insumos!$A$20:$A$168,0)),0)</f>
        <v>105</v>
      </c>
      <c r="I23" s="27" t="n">
        <f aca="false">G23*H23</f>
        <v>0.535714285714286</v>
      </c>
    </row>
    <row r="24" customFormat="false" ht="15" hidden="false" customHeight="false" outlineLevel="0" collapsed="false">
      <c r="A24" s="15" t="s">
        <v>431</v>
      </c>
      <c r="B24" s="15" t="s">
        <v>432</v>
      </c>
      <c r="C24" s="16" t="s">
        <v>54</v>
      </c>
      <c r="D24" s="15" t="s">
        <v>55</v>
      </c>
      <c r="E24" s="18" t="n">
        <v>0.45</v>
      </c>
      <c r="F24" s="29" t="n">
        <f aca="false">IFERROR(INDEX(Insumos!$F$4:$F$168,MATCH($C24,Insumos!$A$4:$A$168,0)),1)</f>
        <v>0.5</v>
      </c>
      <c r="G24" s="30" t="n">
        <f aca="false">IFERROR(E24/F24,0)</f>
        <v>0.9</v>
      </c>
      <c r="H24" s="31" t="n">
        <f aca="false">Insumos!$G$6</f>
        <v>22.9029433703306</v>
      </c>
      <c r="I24" s="27" t="n">
        <f aca="false">G24*H24</f>
        <v>20.6126490332975</v>
      </c>
    </row>
    <row r="25" customFormat="false" ht="15" hidden="false" customHeight="false" outlineLevel="0" collapsed="false">
      <c r="A25" s="15" t="s">
        <v>431</v>
      </c>
      <c r="B25" s="15" t="s">
        <v>432</v>
      </c>
      <c r="C25" s="16" t="s">
        <v>150</v>
      </c>
      <c r="D25" s="15" t="s">
        <v>151</v>
      </c>
      <c r="E25" s="18" t="n">
        <v>0.25</v>
      </c>
      <c r="F25" s="29" t="n">
        <f aca="false">IFERROR(INDEX(Insumos!$F$4:$F$168,MATCH($C25,Insumos!$A$4:$A$168,0)),1)</f>
        <v>0.95</v>
      </c>
      <c r="G25" s="30" t="n">
        <f aca="false">IFERROR(E25/F25,0)</f>
        <v>0.263157894736842</v>
      </c>
      <c r="H25" s="31" t="n">
        <f aca="false">IFERROR(INDEX(Insumos!$G$20:$G$168,MATCH($C25,Insumos!$A$20:$A$168,0)),0)</f>
        <v>30</v>
      </c>
      <c r="I25" s="27" t="n">
        <f aca="false">G25*H25</f>
        <v>7.89473684210526</v>
      </c>
    </row>
    <row r="26" customFormat="false" ht="15" hidden="false" customHeight="false" outlineLevel="0" collapsed="false">
      <c r="A26" s="15" t="s">
        <v>431</v>
      </c>
      <c r="B26" s="15" t="s">
        <v>432</v>
      </c>
      <c r="C26" s="16" t="s">
        <v>171</v>
      </c>
      <c r="D26" s="15" t="s">
        <v>172</v>
      </c>
      <c r="E26" s="18" t="n">
        <v>0.25</v>
      </c>
      <c r="F26" s="29" t="n">
        <f aca="false">IFERROR(INDEX(Insumos!$F$4:$F$168,MATCH($C26,Insumos!$A$4:$A$168,0)),1)</f>
        <v>0.98</v>
      </c>
      <c r="G26" s="30" t="n">
        <f aca="false">IFERROR(E26/F26,0)</f>
        <v>0.255102040816327</v>
      </c>
      <c r="H26" s="31" t="n">
        <f aca="false">IFERROR(INDEX(Insumos!$G$20:$G$168,MATCH($C26,Insumos!$A$20:$A$168,0)),0)</f>
        <v>7.9</v>
      </c>
      <c r="I26" s="27" t="n">
        <f aca="false">G26*H26</f>
        <v>2.01530612244898</v>
      </c>
    </row>
    <row r="27" customFormat="false" ht="15" hidden="false" customHeight="false" outlineLevel="0" collapsed="false">
      <c r="A27" s="15" t="s">
        <v>431</v>
      </c>
      <c r="B27" s="15" t="s">
        <v>432</v>
      </c>
      <c r="C27" s="16" t="s">
        <v>185</v>
      </c>
      <c r="D27" s="15" t="s">
        <v>186</v>
      </c>
      <c r="E27" s="18" t="n">
        <v>0.25</v>
      </c>
      <c r="F27" s="29" t="n">
        <f aca="false">IFERROR(INDEX(Insumos!$F$4:$F$168,MATCH($C27,Insumos!$A$4:$A$168,0)),1)</f>
        <v>0.95</v>
      </c>
      <c r="G27" s="30" t="n">
        <f aca="false">IFERROR(E27/F27,0)</f>
        <v>0.263157894736842</v>
      </c>
      <c r="H27" s="31" t="n">
        <f aca="false">IFERROR(INDEX(Insumos!$G$20:$G$168,MATCH($C27,Insumos!$A$20:$A$168,0)),0)</f>
        <v>7</v>
      </c>
      <c r="I27" s="27" t="n">
        <f aca="false">G27*H27</f>
        <v>1.84210526315789</v>
      </c>
    </row>
    <row r="28" customFormat="false" ht="15" hidden="false" customHeight="false" outlineLevel="0" collapsed="false">
      <c r="A28" s="15" t="s">
        <v>433</v>
      </c>
      <c r="B28" s="15" t="s">
        <v>434</v>
      </c>
      <c r="C28" s="16" t="s">
        <v>56</v>
      </c>
      <c r="D28" s="15" t="s">
        <v>57</v>
      </c>
      <c r="E28" s="18" t="n">
        <v>0.75</v>
      </c>
      <c r="F28" s="29" t="n">
        <f aca="false">IFERROR(INDEX(Insumos!$F$4:$F$168,MATCH($C28,Insumos!$A$4:$A$168,0)),1)</f>
        <v>1</v>
      </c>
      <c r="G28" s="30" t="n">
        <f aca="false">IFERROR(E28/F28,0)</f>
        <v>0.75</v>
      </c>
      <c r="H28" s="31" t="n">
        <f aca="false">Insumos!$G$7</f>
        <v>34.8859116222301</v>
      </c>
      <c r="I28" s="27" t="n">
        <f aca="false">G28*H28</f>
        <v>26.1644337166726</v>
      </c>
    </row>
    <row r="29" customFormat="false" ht="15" hidden="false" customHeight="false" outlineLevel="0" collapsed="false">
      <c r="A29" s="15" t="s">
        <v>433</v>
      </c>
      <c r="B29" s="15" t="s">
        <v>434</v>
      </c>
      <c r="C29" s="16" t="s">
        <v>284</v>
      </c>
      <c r="D29" s="15" t="s">
        <v>285</v>
      </c>
      <c r="E29" s="18" t="n">
        <v>0.5</v>
      </c>
      <c r="F29" s="29" t="n">
        <f aca="false">IFERROR(INDEX(Insumos!$F$4:$F$168,MATCH($C29,Insumos!$A$4:$A$168,0)),1)</f>
        <v>0.98</v>
      </c>
      <c r="G29" s="30" t="n">
        <f aca="false">IFERROR(E29/F29,0)</f>
        <v>0.510204081632653</v>
      </c>
      <c r="H29" s="31" t="n">
        <f aca="false">IFERROR(INDEX(Insumos!$G$20:$G$168,MATCH($C29,Insumos!$A$20:$A$168,0)),0)</f>
        <v>28.75</v>
      </c>
      <c r="I29" s="27" t="n">
        <f aca="false">G29*H29</f>
        <v>14.6683673469388</v>
      </c>
    </row>
    <row r="30" customFormat="false" ht="15" hidden="false" customHeight="false" outlineLevel="0" collapsed="false">
      <c r="A30" s="15" t="s">
        <v>433</v>
      </c>
      <c r="B30" s="15" t="s">
        <v>434</v>
      </c>
      <c r="C30" s="16" t="s">
        <v>135</v>
      </c>
      <c r="D30" s="15" t="s">
        <v>136</v>
      </c>
      <c r="E30" s="18" t="n">
        <v>2.039</v>
      </c>
      <c r="F30" s="29" t="n">
        <f aca="false">IFERROR(INDEX(Insumos!$F$4:$F$168,MATCH($C30,Insumos!$A$4:$A$168,0)),1)</f>
        <v>0.940166748406081</v>
      </c>
      <c r="G30" s="30" t="n">
        <f aca="false">IFERROR(E30/F30,0)</f>
        <v>2.16876421491914</v>
      </c>
      <c r="H30" s="31" t="n">
        <f aca="false">IFERROR(INDEX(Insumos!$G$20:$G$168,MATCH($C30,Insumos!$A$20:$A$168,0)),0)</f>
        <v>12</v>
      </c>
      <c r="I30" s="27" t="n">
        <f aca="false">G30*H30</f>
        <v>26.0251705790297</v>
      </c>
    </row>
    <row r="31" customFormat="false" ht="15" hidden="false" customHeight="false" outlineLevel="0" collapsed="false">
      <c r="A31" s="15" t="s">
        <v>433</v>
      </c>
      <c r="B31" s="15" t="s">
        <v>434</v>
      </c>
      <c r="C31" s="16" t="s">
        <v>336</v>
      </c>
      <c r="D31" s="15" t="s">
        <v>337</v>
      </c>
      <c r="E31" s="18" t="n">
        <v>0.1</v>
      </c>
      <c r="F31" s="29" t="n">
        <f aca="false">IFERROR(INDEX(Insumos!$F$4:$F$168,MATCH($C31,Insumos!$A$4:$A$168,0)),1)</f>
        <v>1</v>
      </c>
      <c r="G31" s="30" t="n">
        <f aca="false">IFERROR(E31/F31,0)</f>
        <v>0.1</v>
      </c>
      <c r="H31" s="31" t="n">
        <f aca="false">IFERROR(INDEX(Insumos!$G$20:$G$168,MATCH($C31,Insumos!$A$20:$A$168,0)),0)</f>
        <v>15</v>
      </c>
      <c r="I31" s="27" t="n">
        <f aca="false">G31*H31</f>
        <v>1.5</v>
      </c>
    </row>
    <row r="32" customFormat="false" ht="15" hidden="false" customHeight="false" outlineLevel="0" collapsed="false">
      <c r="A32" s="15" t="s">
        <v>433</v>
      </c>
      <c r="B32" s="15" t="s">
        <v>434</v>
      </c>
      <c r="C32" s="16" t="s">
        <v>403</v>
      </c>
      <c r="D32" s="15" t="s">
        <v>404</v>
      </c>
      <c r="E32" s="18" t="n">
        <v>0.15</v>
      </c>
      <c r="F32" s="29" t="n">
        <f aca="false">IFERROR(INDEX(Insumos!$F$4:$F$168,MATCH($C32,Insumos!$A$4:$A$168,0)),1)</f>
        <v>0.98</v>
      </c>
      <c r="G32" s="30" t="n">
        <f aca="false">IFERROR(E32/F32,0)</f>
        <v>0.153061224489796</v>
      </c>
      <c r="H32" s="31" t="n">
        <f aca="false">IFERROR(INDEX(Insumos!$G$20:$G$168,MATCH($C32,Insumos!$A$20:$A$168,0)),0)</f>
        <v>1.5</v>
      </c>
      <c r="I32" s="27" t="n">
        <f aca="false">G32*H32</f>
        <v>0.229591836734694</v>
      </c>
    </row>
    <row r="33" customFormat="false" ht="15" hidden="false" customHeight="false" outlineLevel="0" collapsed="false">
      <c r="A33" s="15" t="s">
        <v>437</v>
      </c>
      <c r="B33" s="15" t="s">
        <v>438</v>
      </c>
      <c r="C33" s="16" t="s">
        <v>212</v>
      </c>
      <c r="D33" s="15" t="s">
        <v>213</v>
      </c>
      <c r="E33" s="18" t="n">
        <v>0.15</v>
      </c>
      <c r="F33" s="29" t="n">
        <f aca="false">IFERROR(INDEX(Insumos!$F$4:$F$168,MATCH($C33,Insumos!$A$4:$A$168,0)),1)</f>
        <v>0.98</v>
      </c>
      <c r="G33" s="30" t="n">
        <f aca="false">IFERROR(E33/F33,0)</f>
        <v>0.153061224489796</v>
      </c>
      <c r="H33" s="31" t="n">
        <f aca="false">IFERROR(INDEX(Insumos!$G$20:$G$168,MATCH($C33,Insumos!$A$20:$A$168,0)),0)</f>
        <v>9.5</v>
      </c>
      <c r="I33" s="27" t="n">
        <f aca="false">G33*H33</f>
        <v>1.45408163265306</v>
      </c>
    </row>
    <row r="34" customFormat="false" ht="15" hidden="false" customHeight="false" outlineLevel="0" collapsed="false">
      <c r="A34" s="15" t="s">
        <v>437</v>
      </c>
      <c r="B34" s="15" t="s">
        <v>438</v>
      </c>
      <c r="C34" s="16" t="s">
        <v>344</v>
      </c>
      <c r="D34" s="15" t="s">
        <v>345</v>
      </c>
      <c r="E34" s="18" t="n">
        <v>0.065</v>
      </c>
      <c r="F34" s="29" t="n">
        <f aca="false">IFERROR(INDEX(Insumos!$F$4:$F$168,MATCH($C34,Insumos!$A$4:$A$168,0)),1)</f>
        <v>0.98</v>
      </c>
      <c r="G34" s="30" t="n">
        <f aca="false">IFERROR(E34/F34,0)</f>
        <v>0.0663265306122449</v>
      </c>
      <c r="H34" s="31" t="n">
        <f aca="false">IFERROR(INDEX(Insumos!$G$20:$G$168,MATCH($C34,Insumos!$A$20:$A$168,0)),0)</f>
        <v>12</v>
      </c>
      <c r="I34" s="27" t="n">
        <f aca="false">G34*H34</f>
        <v>0.795918367346939</v>
      </c>
    </row>
    <row r="35" customFormat="false" ht="15" hidden="false" customHeight="false" outlineLevel="0" collapsed="false">
      <c r="A35" s="15" t="s">
        <v>437</v>
      </c>
      <c r="B35" s="15" t="s">
        <v>438</v>
      </c>
      <c r="C35" s="16" t="s">
        <v>349</v>
      </c>
      <c r="D35" s="15" t="s">
        <v>350</v>
      </c>
      <c r="E35" s="18" t="n">
        <v>0.015</v>
      </c>
      <c r="F35" s="29" t="n">
        <f aca="false">IFERROR(INDEX(Insumos!$F$4:$F$168,MATCH($C35,Insumos!$A$4:$A$168,0)),1)</f>
        <v>0.98</v>
      </c>
      <c r="G35" s="30" t="n">
        <f aca="false">IFERROR(E35/F35,0)</f>
        <v>0.0153061224489796</v>
      </c>
      <c r="H35" s="31" t="n">
        <f aca="false">IFERROR(INDEX(Insumos!$G$20:$G$168,MATCH($C35,Insumos!$A$20:$A$168,0)),0)</f>
        <v>54.4</v>
      </c>
      <c r="I35" s="27" t="n">
        <f aca="false">G35*H35</f>
        <v>0.83265306122449</v>
      </c>
    </row>
    <row r="36" customFormat="false" ht="15" hidden="false" customHeight="false" outlineLevel="0" collapsed="false">
      <c r="A36" s="15" t="s">
        <v>437</v>
      </c>
      <c r="B36" s="15" t="s">
        <v>438</v>
      </c>
      <c r="C36" s="16" t="s">
        <v>121</v>
      </c>
      <c r="D36" s="15" t="s">
        <v>122</v>
      </c>
      <c r="E36" s="18" t="n">
        <v>0.01</v>
      </c>
      <c r="F36" s="29" t="n">
        <f aca="false">IFERROR(INDEX(Insumos!$F$4:$F$168,MATCH($C36,Insumos!$A$4:$A$168,0)),1)</f>
        <v>0.98</v>
      </c>
      <c r="G36" s="30" t="n">
        <f aca="false">IFERROR(E36/F36,0)</f>
        <v>0.0102040816326531</v>
      </c>
      <c r="H36" s="31" t="n">
        <f aca="false">IFERROR(INDEX(Insumos!$G$20:$G$168,MATCH($C36,Insumos!$A$20:$A$168,0)),0)</f>
        <v>6</v>
      </c>
      <c r="I36" s="27" t="n">
        <f aca="false">G36*H36</f>
        <v>0.0612244897959184</v>
      </c>
    </row>
    <row r="37" customFormat="false" ht="15" hidden="false" customHeight="false" outlineLevel="0" collapsed="false">
      <c r="A37" s="15" t="s">
        <v>437</v>
      </c>
      <c r="B37" s="15" t="s">
        <v>438</v>
      </c>
      <c r="C37" s="16" t="s">
        <v>366</v>
      </c>
      <c r="D37" s="15" t="s">
        <v>367</v>
      </c>
      <c r="E37" s="18" t="n">
        <v>0.005</v>
      </c>
      <c r="F37" s="29" t="n">
        <f aca="false">IFERROR(INDEX(Insumos!$F$4:$F$168,MATCH($C37,Insumos!$A$4:$A$168,0)),1)</f>
        <v>0.98</v>
      </c>
      <c r="G37" s="30" t="n">
        <f aca="false">IFERROR(E37/F37,0)</f>
        <v>0.00510204081632653</v>
      </c>
      <c r="H37" s="31" t="n">
        <f aca="false">IFERROR(INDEX(Insumos!$G$20:$G$168,MATCH($C37,Insumos!$A$20:$A$168,0)),0)</f>
        <v>5</v>
      </c>
      <c r="I37" s="27" t="n">
        <f aca="false">G37*H37</f>
        <v>0.0255102040816327</v>
      </c>
    </row>
    <row r="38" customFormat="false" ht="15" hidden="false" customHeight="false" outlineLevel="0" collapsed="false">
      <c r="A38" s="15" t="s">
        <v>437</v>
      </c>
      <c r="B38" s="15" t="s">
        <v>438</v>
      </c>
      <c r="C38" s="16" t="s">
        <v>256</v>
      </c>
      <c r="D38" s="15" t="s">
        <v>257</v>
      </c>
      <c r="E38" s="18" t="n">
        <v>0.0005</v>
      </c>
      <c r="F38" s="29" t="n">
        <f aca="false">IFERROR(INDEX(Insumos!$F$4:$F$168,MATCH($C38,Insumos!$A$4:$A$168,0)),1)</f>
        <v>0.98</v>
      </c>
      <c r="G38" s="30" t="n">
        <f aca="false">IFERROR(E38/F38,0)</f>
        <v>0.000510204081632653</v>
      </c>
      <c r="H38" s="31" t="n">
        <f aca="false">IFERROR(INDEX(Insumos!$G$20:$G$168,MATCH($C38,Insumos!$A$20:$A$168,0)),0)</f>
        <v>36.86</v>
      </c>
      <c r="I38" s="27" t="n">
        <f aca="false">G38*H38</f>
        <v>0.0188061224489796</v>
      </c>
    </row>
    <row r="39" customFormat="false" ht="15" hidden="false" customHeight="false" outlineLevel="0" collapsed="false">
      <c r="A39" s="15" t="s">
        <v>437</v>
      </c>
      <c r="B39" s="15" t="s">
        <v>438</v>
      </c>
      <c r="C39" s="16" t="s">
        <v>225</v>
      </c>
      <c r="D39" s="15" t="s">
        <v>226</v>
      </c>
      <c r="E39" s="18" t="n">
        <v>0.01</v>
      </c>
      <c r="F39" s="29" t="n">
        <f aca="false">IFERROR(INDEX(Insumos!$F$4:$F$168,MATCH($C39,Insumos!$A$4:$A$168,0)),1)</f>
        <v>0.98</v>
      </c>
      <c r="G39" s="30" t="n">
        <f aca="false">IFERROR(E39/F39,0)</f>
        <v>0.0102040816326531</v>
      </c>
      <c r="H39" s="31" t="n">
        <f aca="false">IFERROR(INDEX(Insumos!$G$20:$G$168,MATCH($C39,Insumos!$A$20:$A$168,0)),0)</f>
        <v>14.9</v>
      </c>
      <c r="I39" s="27" t="n">
        <f aca="false">G39*H39</f>
        <v>0.152040816326531</v>
      </c>
    </row>
    <row r="40" customFormat="false" ht="15" hidden="false" customHeight="false" outlineLevel="0" collapsed="false">
      <c r="A40" s="15" t="s">
        <v>437</v>
      </c>
      <c r="B40" s="15" t="s">
        <v>438</v>
      </c>
      <c r="C40" s="16" t="s">
        <v>118</v>
      </c>
      <c r="D40" s="15" t="s">
        <v>119</v>
      </c>
      <c r="E40" s="18" t="n">
        <v>0.03</v>
      </c>
      <c r="F40" s="29" t="n">
        <f aca="false">IFERROR(INDEX(Insumos!$F$4:$F$168,MATCH($C40,Insumos!$A$4:$A$168,0)),1)</f>
        <v>0.95</v>
      </c>
      <c r="G40" s="30" t="n">
        <f aca="false">IFERROR(E40/F40,0)</f>
        <v>0.0315789473684211</v>
      </c>
      <c r="H40" s="31" t="n">
        <f aca="false">IFERROR(INDEX(Insumos!$G$20:$G$168,MATCH($C40,Insumos!$A$20:$A$168,0)),0)</f>
        <v>20</v>
      </c>
      <c r="I40" s="27" t="n">
        <f aca="false">G40*H40</f>
        <v>0.631578947368421</v>
      </c>
    </row>
    <row r="41" customFormat="false" ht="15" hidden="false" customHeight="false" outlineLevel="0" collapsed="false">
      <c r="A41" s="15" t="s">
        <v>437</v>
      </c>
      <c r="B41" s="15" t="s">
        <v>438</v>
      </c>
      <c r="C41" s="16" t="s">
        <v>336</v>
      </c>
      <c r="D41" s="15" t="s">
        <v>337</v>
      </c>
      <c r="E41" s="18" t="n">
        <v>0.05</v>
      </c>
      <c r="F41" s="29" t="n">
        <f aca="false">IFERROR(INDEX(Insumos!$F$4:$F$168,MATCH($C41,Insumos!$A$4:$A$168,0)),1)</f>
        <v>1</v>
      </c>
      <c r="G41" s="30" t="n">
        <f aca="false">IFERROR(E41/F41,0)</f>
        <v>0.05</v>
      </c>
      <c r="H41" s="31" t="n">
        <f aca="false">IFERROR(INDEX(Insumos!$G$20:$G$168,MATCH($C41,Insumos!$A$20:$A$168,0)),0)</f>
        <v>15</v>
      </c>
      <c r="I41" s="27" t="n">
        <f aca="false">G41*H41</f>
        <v>0.75</v>
      </c>
    </row>
    <row r="42" customFormat="false" ht="15" hidden="false" customHeight="false" outlineLevel="0" collapsed="false">
      <c r="A42" s="15" t="s">
        <v>437</v>
      </c>
      <c r="B42" s="15" t="s">
        <v>438</v>
      </c>
      <c r="C42" s="16" t="s">
        <v>403</v>
      </c>
      <c r="D42" s="15" t="s">
        <v>404</v>
      </c>
      <c r="E42" s="18" t="n">
        <v>0.1</v>
      </c>
      <c r="F42" s="29" t="n">
        <f aca="false">IFERROR(INDEX(Insumos!$F$4:$F$168,MATCH($C42,Insumos!$A$4:$A$168,0)),1)</f>
        <v>0.98</v>
      </c>
      <c r="G42" s="30" t="n">
        <f aca="false">IFERROR(E42/F42,0)</f>
        <v>0.102040816326531</v>
      </c>
      <c r="H42" s="31" t="n">
        <f aca="false">IFERROR(INDEX(Insumos!$G$20:$G$168,MATCH($C42,Insumos!$A$20:$A$168,0)),0)</f>
        <v>1.5</v>
      </c>
      <c r="I42" s="27" t="n">
        <f aca="false">G42*H42</f>
        <v>0.153061224489796</v>
      </c>
    </row>
    <row r="43" customFormat="false" ht="15" hidden="false" customHeight="false" outlineLevel="0" collapsed="false">
      <c r="A43" s="15" t="s">
        <v>437</v>
      </c>
      <c r="B43" s="15" t="s">
        <v>438</v>
      </c>
      <c r="C43" s="16" t="s">
        <v>90</v>
      </c>
      <c r="D43" s="15" t="s">
        <v>91</v>
      </c>
      <c r="E43" s="18" t="n">
        <v>0.004</v>
      </c>
      <c r="F43" s="29" t="n">
        <f aca="false">IFERROR(INDEX(Insumos!$F$4:$F$168,MATCH($C43,Insumos!$A$4:$A$168,0)),1)</f>
        <v>0.95</v>
      </c>
      <c r="G43" s="30" t="n">
        <f aca="false">IFERROR(E43/F43,0)</f>
        <v>0.00421052631578947</v>
      </c>
      <c r="H43" s="31" t="n">
        <f aca="false">IFERROR(INDEX(Insumos!$G$20:$G$168,MATCH($C43,Insumos!$A$20:$A$168,0)),0)</f>
        <v>10</v>
      </c>
      <c r="I43" s="27" t="n">
        <f aca="false">G43*H43</f>
        <v>0.0421052631578947</v>
      </c>
    </row>
    <row r="44" customFormat="false" ht="15" hidden="false" customHeight="false" outlineLevel="0" collapsed="false">
      <c r="A44" s="15" t="s">
        <v>437</v>
      </c>
      <c r="B44" s="15" t="s">
        <v>438</v>
      </c>
      <c r="C44" s="16" t="s">
        <v>247</v>
      </c>
      <c r="D44" s="15" t="s">
        <v>248</v>
      </c>
      <c r="E44" s="18" t="n">
        <v>0.02</v>
      </c>
      <c r="F44" s="29" t="n">
        <f aca="false">IFERROR(INDEX(Insumos!$F$4:$F$168,MATCH($C44,Insumos!$A$4:$A$168,0)),1)</f>
        <v>0.98</v>
      </c>
      <c r="G44" s="30" t="n">
        <f aca="false">IFERROR(E44/F44,0)</f>
        <v>0.0204081632653061</v>
      </c>
      <c r="H44" s="31" t="n">
        <f aca="false">IFERROR(INDEX(Insumos!$G$20:$G$168,MATCH($C44,Insumos!$A$20:$A$168,0)),0)</f>
        <v>48.85</v>
      </c>
      <c r="I44" s="27" t="n">
        <f aca="false">G44*H44</f>
        <v>0.996938775510204</v>
      </c>
    </row>
    <row r="45" customFormat="false" ht="15" hidden="false" customHeight="false" outlineLevel="0" collapsed="false">
      <c r="A45" s="15" t="s">
        <v>437</v>
      </c>
      <c r="B45" s="15" t="s">
        <v>438</v>
      </c>
      <c r="C45" s="16" t="s">
        <v>173</v>
      </c>
      <c r="D45" s="15" t="s">
        <v>174</v>
      </c>
      <c r="E45" s="18" t="n">
        <v>0.04</v>
      </c>
      <c r="F45" s="29" t="n">
        <f aca="false">IFERROR(INDEX(Insumos!$F$4:$F$168,MATCH($C45,Insumos!$A$4:$A$168,0)),1)</f>
        <v>0.98</v>
      </c>
      <c r="G45" s="30" t="n">
        <f aca="false">IFERROR(E45/F45,0)</f>
        <v>0.0408163265306123</v>
      </c>
      <c r="H45" s="31" t="n">
        <f aca="false">IFERROR(INDEX(Insumos!$G$20:$G$168,MATCH($C45,Insumos!$A$20:$A$168,0)),0)</f>
        <v>34.89</v>
      </c>
      <c r="I45" s="27" t="n">
        <f aca="false">G45*H45</f>
        <v>1.42408163265306</v>
      </c>
    </row>
    <row r="46" customFormat="false" ht="15" hidden="false" customHeight="false" outlineLevel="0" collapsed="false">
      <c r="A46" s="15" t="s">
        <v>440</v>
      </c>
      <c r="B46" s="15" t="s">
        <v>441</v>
      </c>
      <c r="C46" s="16" t="s">
        <v>361</v>
      </c>
      <c r="D46" s="15" t="s">
        <v>362</v>
      </c>
      <c r="E46" s="18" t="n">
        <v>1.2</v>
      </c>
      <c r="F46" s="29" t="n">
        <f aca="false">IFERROR(INDEX(Insumos!$F$4:$F$168,MATCH($C46,Insumos!$A$4:$A$168,0)),1)</f>
        <v>1</v>
      </c>
      <c r="G46" s="30" t="n">
        <f aca="false">IFERROR(E46/F46,0)</f>
        <v>1.2</v>
      </c>
      <c r="H46" s="31" t="n">
        <f aca="false">IFERROR(INDEX(Insumos!$G$20:$G$168,MATCH($C46,Insumos!$A$20:$A$168,0)),0)</f>
        <v>60</v>
      </c>
      <c r="I46" s="27" t="n">
        <f aca="false">G46*H46</f>
        <v>72</v>
      </c>
    </row>
    <row r="47" customFormat="false" ht="15" hidden="false" customHeight="false" outlineLevel="0" collapsed="false">
      <c r="A47" s="15" t="s">
        <v>440</v>
      </c>
      <c r="B47" s="15" t="s">
        <v>441</v>
      </c>
      <c r="C47" s="16" t="s">
        <v>69</v>
      </c>
      <c r="D47" s="15" t="s">
        <v>70</v>
      </c>
      <c r="E47" s="18" t="n">
        <v>1.36</v>
      </c>
      <c r="F47" s="29" t="n">
        <f aca="false">IFERROR(INDEX(Insumos!$F$4:$F$168,MATCH($C47,Insumos!$A$4:$A$168,0)),1)</f>
        <v>1</v>
      </c>
      <c r="G47" s="30" t="n">
        <f aca="false">IFERROR(E47/F47,0)</f>
        <v>1.36</v>
      </c>
      <c r="H47" s="31" t="n">
        <f aca="false">Insumos!$G$13</f>
        <v>13.9879411789558</v>
      </c>
      <c r="I47" s="27" t="n">
        <f aca="false">G47*H47</f>
        <v>19.0236000033799</v>
      </c>
    </row>
    <row r="48" customFormat="false" ht="15" hidden="false" customHeight="false" outlineLevel="0" collapsed="false">
      <c r="A48" s="15" t="s">
        <v>442</v>
      </c>
      <c r="B48" s="15" t="s">
        <v>443</v>
      </c>
      <c r="C48" s="16" t="s">
        <v>319</v>
      </c>
      <c r="D48" s="15" t="s">
        <v>320</v>
      </c>
      <c r="E48" s="18" t="n">
        <v>0.18</v>
      </c>
      <c r="F48" s="29" t="n">
        <f aca="false">IFERROR(INDEX(Insumos!$F$4:$F$168,MATCH($C48,Insumos!$A$4:$A$168,0)),1)</f>
        <v>0.98</v>
      </c>
      <c r="G48" s="30" t="n">
        <f aca="false">IFERROR(E48/F48,0)</f>
        <v>0.183673469387755</v>
      </c>
      <c r="H48" s="31" t="n">
        <f aca="false">IFERROR(INDEX(Insumos!$G$20:$G$168,MATCH($C48,Insumos!$A$20:$A$168,0)),0)</f>
        <v>16.0746</v>
      </c>
      <c r="I48" s="27" t="n">
        <f aca="false">G48*H48</f>
        <v>2.95247755102041</v>
      </c>
    </row>
    <row r="49" customFormat="false" ht="15" hidden="false" customHeight="false" outlineLevel="0" collapsed="false">
      <c r="A49" s="15" t="s">
        <v>442</v>
      </c>
      <c r="B49" s="15" t="s">
        <v>443</v>
      </c>
      <c r="C49" s="16" t="s">
        <v>225</v>
      </c>
      <c r="D49" s="15" t="s">
        <v>226</v>
      </c>
      <c r="E49" s="18" t="n">
        <v>0.005</v>
      </c>
      <c r="F49" s="29" t="n">
        <f aca="false">IFERROR(INDEX(Insumos!$F$4:$F$168,MATCH($C49,Insumos!$A$4:$A$168,0)),1)</f>
        <v>0.98</v>
      </c>
      <c r="G49" s="30" t="n">
        <f aca="false">IFERROR(E49/F49,0)</f>
        <v>0.00510204081632653</v>
      </c>
      <c r="H49" s="31" t="n">
        <f aca="false">IFERROR(INDEX(Insumos!$G$20:$G$168,MATCH($C49,Insumos!$A$20:$A$168,0)),0)</f>
        <v>14.9</v>
      </c>
      <c r="I49" s="27" t="n">
        <f aca="false">G49*H49</f>
        <v>0.0760204081632653</v>
      </c>
    </row>
    <row r="50" customFormat="false" ht="15" hidden="false" customHeight="false" outlineLevel="0" collapsed="false">
      <c r="A50" s="15" t="s">
        <v>442</v>
      </c>
      <c r="B50" s="15" t="s">
        <v>443</v>
      </c>
      <c r="C50" s="16" t="s">
        <v>121</v>
      </c>
      <c r="D50" s="15" t="s">
        <v>122</v>
      </c>
      <c r="E50" s="18" t="n">
        <v>0.01</v>
      </c>
      <c r="F50" s="29" t="n">
        <f aca="false">IFERROR(INDEX(Insumos!$F$4:$F$168,MATCH($C50,Insumos!$A$4:$A$168,0)),1)</f>
        <v>0.98</v>
      </c>
      <c r="G50" s="30" t="n">
        <f aca="false">IFERROR(E50/F50,0)</f>
        <v>0.0102040816326531</v>
      </c>
      <c r="H50" s="31" t="n">
        <f aca="false">IFERROR(INDEX(Insumos!$G$20:$G$168,MATCH($C50,Insumos!$A$20:$A$168,0)),0)</f>
        <v>6</v>
      </c>
      <c r="I50" s="27" t="n">
        <f aca="false">G50*H50</f>
        <v>0.0612244897959184</v>
      </c>
    </row>
    <row r="51" customFormat="false" ht="15" hidden="false" customHeight="false" outlineLevel="0" collapsed="false">
      <c r="A51" s="15" t="s">
        <v>442</v>
      </c>
      <c r="B51" s="15" t="s">
        <v>443</v>
      </c>
      <c r="C51" s="16" t="s">
        <v>366</v>
      </c>
      <c r="D51" s="15" t="s">
        <v>367</v>
      </c>
      <c r="E51" s="18" t="n">
        <v>0.005</v>
      </c>
      <c r="F51" s="29" t="n">
        <f aca="false">IFERROR(INDEX(Insumos!$F$4:$F$168,MATCH($C51,Insumos!$A$4:$A$168,0)),1)</f>
        <v>0.98</v>
      </c>
      <c r="G51" s="30" t="n">
        <f aca="false">IFERROR(E51/F51,0)</f>
        <v>0.00510204081632653</v>
      </c>
      <c r="H51" s="31" t="n">
        <f aca="false">IFERROR(INDEX(Insumos!$G$20:$G$168,MATCH($C51,Insumos!$A$20:$A$168,0)),0)</f>
        <v>5</v>
      </c>
      <c r="I51" s="27" t="n">
        <f aca="false">G51*H51</f>
        <v>0.0255102040816327</v>
      </c>
    </row>
    <row r="52" customFormat="false" ht="15" hidden="false" customHeight="false" outlineLevel="0" collapsed="false">
      <c r="A52" s="15" t="s">
        <v>442</v>
      </c>
      <c r="B52" s="15" t="s">
        <v>443</v>
      </c>
      <c r="C52" s="16" t="s">
        <v>336</v>
      </c>
      <c r="D52" s="15" t="s">
        <v>337</v>
      </c>
      <c r="E52" s="18" t="n">
        <v>0.05</v>
      </c>
      <c r="F52" s="29" t="n">
        <f aca="false">IFERROR(INDEX(Insumos!$F$4:$F$168,MATCH($C52,Insumos!$A$4:$A$168,0)),1)</f>
        <v>1</v>
      </c>
      <c r="G52" s="30" t="n">
        <f aca="false">IFERROR(E52/F52,0)</f>
        <v>0.05</v>
      </c>
      <c r="H52" s="31" t="n">
        <f aca="false">IFERROR(INDEX(Insumos!$G$20:$G$168,MATCH($C52,Insumos!$A$20:$A$168,0)),0)</f>
        <v>15</v>
      </c>
      <c r="I52" s="27" t="n">
        <f aca="false">G52*H52</f>
        <v>0.75</v>
      </c>
    </row>
    <row r="53" customFormat="false" ht="15" hidden="false" customHeight="false" outlineLevel="0" collapsed="false">
      <c r="A53" s="15" t="s">
        <v>442</v>
      </c>
      <c r="B53" s="15" t="s">
        <v>443</v>
      </c>
      <c r="C53" s="16" t="s">
        <v>349</v>
      </c>
      <c r="D53" s="15" t="s">
        <v>350</v>
      </c>
      <c r="E53" s="18" t="n">
        <v>0.01</v>
      </c>
      <c r="F53" s="29" t="n">
        <f aca="false">IFERROR(INDEX(Insumos!$F$4:$F$168,MATCH($C53,Insumos!$A$4:$A$168,0)),1)</f>
        <v>0.98</v>
      </c>
      <c r="G53" s="30" t="n">
        <f aca="false">IFERROR(E53/F53,0)</f>
        <v>0.0102040816326531</v>
      </c>
      <c r="H53" s="31" t="n">
        <f aca="false">IFERROR(INDEX(Insumos!$G$20:$G$168,MATCH($C53,Insumos!$A$20:$A$168,0)),0)</f>
        <v>54.4</v>
      </c>
      <c r="I53" s="27" t="n">
        <f aca="false">G53*H53</f>
        <v>0.555102040816327</v>
      </c>
    </row>
    <row r="54" customFormat="false" ht="15" hidden="false" customHeight="false" outlineLevel="0" collapsed="false">
      <c r="A54" s="15" t="s">
        <v>442</v>
      </c>
      <c r="B54" s="15" t="s">
        <v>443</v>
      </c>
      <c r="C54" s="16" t="s">
        <v>118</v>
      </c>
      <c r="D54" s="15" t="s">
        <v>119</v>
      </c>
      <c r="E54" s="18" t="n">
        <v>0.01</v>
      </c>
      <c r="F54" s="29" t="n">
        <f aca="false">IFERROR(INDEX(Insumos!$F$4:$F$168,MATCH($C54,Insumos!$A$4:$A$168,0)),1)</f>
        <v>0.95</v>
      </c>
      <c r="G54" s="30" t="n">
        <f aca="false">IFERROR(E54/F54,0)</f>
        <v>0.0105263157894737</v>
      </c>
      <c r="H54" s="31" t="n">
        <f aca="false">IFERROR(INDEX(Insumos!$G$20:$G$168,MATCH($C54,Insumos!$A$20:$A$168,0)),0)</f>
        <v>20</v>
      </c>
      <c r="I54" s="27" t="n">
        <f aca="false">G54*H54</f>
        <v>0.210526315789474</v>
      </c>
    </row>
    <row r="55" customFormat="false" ht="15" hidden="false" customHeight="false" outlineLevel="0" collapsed="false">
      <c r="A55" s="15" t="s">
        <v>442</v>
      </c>
      <c r="B55" s="15" t="s">
        <v>443</v>
      </c>
      <c r="C55" s="16" t="s">
        <v>403</v>
      </c>
      <c r="D55" s="15" t="s">
        <v>404</v>
      </c>
      <c r="E55" s="18" t="n">
        <v>0.075</v>
      </c>
      <c r="F55" s="29" t="n">
        <f aca="false">IFERROR(INDEX(Insumos!$F$4:$F$168,MATCH($C55,Insumos!$A$4:$A$168,0)),1)</f>
        <v>0.98</v>
      </c>
      <c r="G55" s="30" t="n">
        <f aca="false">IFERROR(E55/F55,0)</f>
        <v>0.076530612244898</v>
      </c>
      <c r="H55" s="31" t="n">
        <f aca="false">IFERROR(INDEX(Insumos!$G$20:$G$168,MATCH($C55,Insumos!$A$20:$A$168,0)),0)</f>
        <v>1.5</v>
      </c>
      <c r="I55" s="27" t="n">
        <f aca="false">G55*H55</f>
        <v>0.114795918367347</v>
      </c>
    </row>
    <row r="56" customFormat="false" ht="15" hidden="false" customHeight="false" outlineLevel="0" collapsed="false">
      <c r="A56" s="15" t="s">
        <v>442</v>
      </c>
      <c r="B56" s="15" t="s">
        <v>443</v>
      </c>
      <c r="C56" s="16" t="s">
        <v>321</v>
      </c>
      <c r="D56" s="15" t="s">
        <v>322</v>
      </c>
      <c r="E56" s="18" t="n">
        <v>0.05</v>
      </c>
      <c r="F56" s="29" t="n">
        <f aca="false">IFERROR(INDEX(Insumos!$F$4:$F$168,MATCH($C56,Insumos!$A$4:$A$168,0)),1)</f>
        <v>0.98</v>
      </c>
      <c r="G56" s="30" t="n">
        <f aca="false">IFERROR(E56/F56,0)</f>
        <v>0.0510204081632653</v>
      </c>
      <c r="H56" s="31" t="n">
        <f aca="false">IFERROR(INDEX(Insumos!$G$20:$G$168,MATCH($C56,Insumos!$A$20:$A$168,0)),0)</f>
        <v>11.3219</v>
      </c>
      <c r="I56" s="27" t="n">
        <f aca="false">G56*H56</f>
        <v>0.577647959183673</v>
      </c>
    </row>
    <row r="57" customFormat="false" ht="15" hidden="false" customHeight="false" outlineLevel="0" collapsed="false">
      <c r="A57" s="15" t="s">
        <v>445</v>
      </c>
      <c r="B57" s="15" t="s">
        <v>446</v>
      </c>
      <c r="C57" s="16" t="s">
        <v>290</v>
      </c>
      <c r="D57" s="15" t="s">
        <v>291</v>
      </c>
      <c r="E57" s="18" t="n">
        <v>1</v>
      </c>
      <c r="F57" s="29" t="n">
        <f aca="false">IFERROR(INDEX(Insumos!$F$4:$F$168,MATCH($C57,Insumos!$A$4:$A$168,0)),1)</f>
        <v>0.75</v>
      </c>
      <c r="G57" s="30" t="n">
        <f aca="false">IFERROR(E57/F57,0)</f>
        <v>1.33333333333333</v>
      </c>
      <c r="H57" s="31" t="n">
        <f aca="false">IFERROR(INDEX(Insumos!$G$20:$G$168,MATCH($C57,Insumos!$A$20:$A$168,0)),0)</f>
        <v>11.9</v>
      </c>
      <c r="I57" s="27" t="n">
        <f aca="false">G57*H57</f>
        <v>15.8666666666667</v>
      </c>
    </row>
    <row r="58" customFormat="false" ht="15" hidden="false" customHeight="false" outlineLevel="0" collapsed="false">
      <c r="A58" s="15" t="s">
        <v>445</v>
      </c>
      <c r="B58" s="15" t="s">
        <v>446</v>
      </c>
      <c r="C58" s="16" t="s">
        <v>344</v>
      </c>
      <c r="D58" s="15" t="s">
        <v>345</v>
      </c>
      <c r="E58" s="18" t="n">
        <v>0.6</v>
      </c>
      <c r="F58" s="29" t="n">
        <f aca="false">IFERROR(INDEX(Insumos!$F$4:$F$168,MATCH($C58,Insumos!$A$4:$A$168,0)),1)</f>
        <v>0.98</v>
      </c>
      <c r="G58" s="30" t="n">
        <f aca="false">IFERROR(E58/F58,0)</f>
        <v>0.612244897959184</v>
      </c>
      <c r="H58" s="31" t="n">
        <f aca="false">IFERROR(INDEX(Insumos!$G$20:$G$168,MATCH($C58,Insumos!$A$20:$A$168,0)),0)</f>
        <v>12</v>
      </c>
      <c r="I58" s="27" t="n">
        <f aca="false">G58*H58</f>
        <v>7.3469387755102</v>
      </c>
    </row>
    <row r="59" customFormat="false" ht="15" hidden="false" customHeight="false" outlineLevel="0" collapsed="false">
      <c r="A59" s="15" t="s">
        <v>445</v>
      </c>
      <c r="B59" s="15" t="s">
        <v>446</v>
      </c>
      <c r="C59" s="16" t="s">
        <v>342</v>
      </c>
      <c r="D59" s="15" t="s">
        <v>343</v>
      </c>
      <c r="E59" s="18" t="n">
        <v>0.4</v>
      </c>
      <c r="F59" s="29" t="n">
        <f aca="false">IFERROR(INDEX(Insumos!$F$4:$F$168,MATCH($C59,Insumos!$A$4:$A$168,0)),1)</f>
        <v>0.98</v>
      </c>
      <c r="G59" s="30" t="n">
        <f aca="false">IFERROR(E59/F59,0)</f>
        <v>0.408163265306122</v>
      </c>
      <c r="H59" s="31" t="n">
        <f aca="false">IFERROR(INDEX(Insumos!$G$20:$G$168,MATCH($C59,Insumos!$A$20:$A$168,0)),0)</f>
        <v>5</v>
      </c>
      <c r="I59" s="27" t="n">
        <f aca="false">G59*H59</f>
        <v>2.04081632653061</v>
      </c>
    </row>
    <row r="60" customFormat="false" ht="15" hidden="false" customHeight="false" outlineLevel="0" collapsed="false">
      <c r="A60" s="15" t="s">
        <v>445</v>
      </c>
      <c r="B60" s="15" t="s">
        <v>446</v>
      </c>
      <c r="C60" s="16" t="s">
        <v>118</v>
      </c>
      <c r="D60" s="15" t="s">
        <v>119</v>
      </c>
      <c r="E60" s="18" t="n">
        <v>0.25</v>
      </c>
      <c r="F60" s="29" t="n">
        <f aca="false">IFERROR(INDEX(Insumos!$F$4:$F$168,MATCH($C60,Insumos!$A$4:$A$168,0)),1)</f>
        <v>0.95</v>
      </c>
      <c r="G60" s="30" t="n">
        <f aca="false">IFERROR(E60/F60,0)</f>
        <v>0.263157894736842</v>
      </c>
      <c r="H60" s="31" t="n">
        <f aca="false">IFERROR(INDEX(Insumos!$G$20:$G$168,MATCH($C60,Insumos!$A$20:$A$168,0)),0)</f>
        <v>20</v>
      </c>
      <c r="I60" s="27" t="n">
        <f aca="false">G60*H60</f>
        <v>5.26315789473684</v>
      </c>
    </row>
    <row r="61" customFormat="false" ht="15" hidden="false" customHeight="false" outlineLevel="0" collapsed="false">
      <c r="A61" s="15" t="s">
        <v>445</v>
      </c>
      <c r="B61" s="15" t="s">
        <v>446</v>
      </c>
      <c r="C61" s="16" t="s">
        <v>366</v>
      </c>
      <c r="D61" s="15" t="s">
        <v>367</v>
      </c>
      <c r="E61" s="18" t="n">
        <v>0.02</v>
      </c>
      <c r="F61" s="29" t="n">
        <f aca="false">IFERROR(INDEX(Insumos!$F$4:$F$168,MATCH($C61,Insumos!$A$4:$A$168,0)),1)</f>
        <v>0.98</v>
      </c>
      <c r="G61" s="30" t="n">
        <f aca="false">IFERROR(E61/F61,0)</f>
        <v>0.0204081632653061</v>
      </c>
      <c r="H61" s="31" t="n">
        <f aca="false">IFERROR(INDEX(Insumos!$G$20:$G$168,MATCH($C61,Insumos!$A$20:$A$168,0)),0)</f>
        <v>5</v>
      </c>
      <c r="I61" s="27" t="n">
        <f aca="false">G61*H61</f>
        <v>0.102040816326531</v>
      </c>
    </row>
    <row r="62" customFormat="false" ht="15" hidden="false" customHeight="false" outlineLevel="0" collapsed="false">
      <c r="A62" s="15" t="s">
        <v>445</v>
      </c>
      <c r="B62" s="15" t="s">
        <v>446</v>
      </c>
      <c r="C62" s="16" t="s">
        <v>204</v>
      </c>
      <c r="D62" s="15" t="s">
        <v>205</v>
      </c>
      <c r="E62" s="18" t="n">
        <v>0.01</v>
      </c>
      <c r="F62" s="29" t="n">
        <f aca="false">IFERROR(INDEX(Insumos!$F$4:$F$168,MATCH($C62,Insumos!$A$4:$A$168,0)),1)</f>
        <v>0.98</v>
      </c>
      <c r="G62" s="30" t="n">
        <f aca="false">IFERROR(E62/F62,0)</f>
        <v>0.0102040816326531</v>
      </c>
      <c r="H62" s="31" t="n">
        <f aca="false">IFERROR(INDEX(Insumos!$G$20:$G$168,MATCH($C62,Insumos!$A$20:$A$168,0)),0)</f>
        <v>11</v>
      </c>
      <c r="I62" s="27" t="n">
        <f aca="false">G62*H62</f>
        <v>0.112244897959184</v>
      </c>
    </row>
    <row r="63" customFormat="false" ht="15" hidden="false" customHeight="false" outlineLevel="0" collapsed="false">
      <c r="A63" s="15" t="s">
        <v>445</v>
      </c>
      <c r="B63" s="15" t="s">
        <v>446</v>
      </c>
      <c r="C63" s="16" t="s">
        <v>90</v>
      </c>
      <c r="D63" s="15" t="s">
        <v>91</v>
      </c>
      <c r="E63" s="18" t="n">
        <v>0.003</v>
      </c>
      <c r="F63" s="29" t="n">
        <f aca="false">IFERROR(INDEX(Insumos!$F$4:$F$168,MATCH($C63,Insumos!$A$4:$A$168,0)),1)</f>
        <v>0.95</v>
      </c>
      <c r="G63" s="30" t="n">
        <f aca="false">IFERROR(E63/F63,0)</f>
        <v>0.00315789473684211</v>
      </c>
      <c r="H63" s="31" t="n">
        <f aca="false">IFERROR(INDEX(Insumos!$G$20:$G$168,MATCH($C63,Insumos!$A$20:$A$168,0)),0)</f>
        <v>10</v>
      </c>
      <c r="I63" s="27" t="n">
        <f aca="false">G63*H63</f>
        <v>0.0315789473684211</v>
      </c>
    </row>
    <row r="64" customFormat="false" ht="15" hidden="false" customHeight="false" outlineLevel="0" collapsed="false">
      <c r="A64" s="15" t="s">
        <v>445</v>
      </c>
      <c r="B64" s="15" t="s">
        <v>446</v>
      </c>
      <c r="C64" s="16" t="s">
        <v>403</v>
      </c>
      <c r="D64" s="15" t="s">
        <v>404</v>
      </c>
      <c r="E64" s="18" t="n">
        <v>0.15</v>
      </c>
      <c r="F64" s="29" t="n">
        <f aca="false">IFERROR(INDEX(Insumos!$F$4:$F$168,MATCH($C64,Insumos!$A$4:$A$168,0)),1)</f>
        <v>0.98</v>
      </c>
      <c r="G64" s="30" t="n">
        <f aca="false">IFERROR(E64/F64,0)</f>
        <v>0.153061224489796</v>
      </c>
      <c r="H64" s="31" t="n">
        <f aca="false">IFERROR(INDEX(Insumos!$G$20:$G$168,MATCH($C64,Insumos!$A$20:$A$168,0)),0)</f>
        <v>1.5</v>
      </c>
      <c r="I64" s="27" t="n">
        <f aca="false">G64*H64</f>
        <v>0.229591836734694</v>
      </c>
    </row>
    <row r="65" customFormat="false" ht="15" hidden="false" customHeight="false" outlineLevel="0" collapsed="false">
      <c r="A65" s="15" t="s">
        <v>449</v>
      </c>
      <c r="B65" s="15" t="s">
        <v>450</v>
      </c>
      <c r="C65" s="16" t="s">
        <v>305</v>
      </c>
      <c r="D65" s="15" t="s">
        <v>306</v>
      </c>
      <c r="E65" s="18" t="n">
        <v>0.6</v>
      </c>
      <c r="F65" s="29" t="n">
        <f aca="false">IFERROR(INDEX(Insumos!$F$4:$F$168,MATCH($C65,Insumos!$A$4:$A$168,0)),1)</f>
        <v>0.98</v>
      </c>
      <c r="G65" s="30" t="n">
        <f aca="false">IFERROR(E65/F65,0)</f>
        <v>0.612244897959184</v>
      </c>
      <c r="H65" s="31" t="n">
        <f aca="false">IFERROR(INDEX(Insumos!$G$20:$G$168,MATCH($C65,Insumos!$A$20:$A$168,0)),0)</f>
        <v>14.0501</v>
      </c>
      <c r="I65" s="27" t="n">
        <f aca="false">G65*H65</f>
        <v>8.60210204081633</v>
      </c>
    </row>
    <row r="66" customFormat="false" ht="15" hidden="false" customHeight="false" outlineLevel="0" collapsed="false">
      <c r="A66" s="15" t="s">
        <v>449</v>
      </c>
      <c r="B66" s="15" t="s">
        <v>450</v>
      </c>
      <c r="C66" s="16" t="s">
        <v>98</v>
      </c>
      <c r="D66" s="15" t="s">
        <v>99</v>
      </c>
      <c r="E66" s="18" t="n">
        <v>0.1</v>
      </c>
      <c r="F66" s="29" t="n">
        <f aca="false">IFERROR(INDEX(Insumos!$F$4:$F$168,MATCH($C66,Insumos!$A$4:$A$168,0)),1)</f>
        <v>0.9</v>
      </c>
      <c r="G66" s="30" t="n">
        <f aca="false">IFERROR(E66/F66,0)</f>
        <v>0.111111111111111</v>
      </c>
      <c r="H66" s="31" t="n">
        <f aca="false">IFERROR(INDEX(Insumos!$G$20:$G$168,MATCH($C66,Insumos!$A$20:$A$168,0)),0)</f>
        <v>50</v>
      </c>
      <c r="I66" s="27" t="n">
        <f aca="false">G66*H66</f>
        <v>5.55555555555556</v>
      </c>
    </row>
    <row r="67" customFormat="false" ht="15" hidden="false" customHeight="false" outlineLevel="0" collapsed="false">
      <c r="A67" s="15" t="s">
        <v>449</v>
      </c>
      <c r="B67" s="15" t="s">
        <v>450</v>
      </c>
      <c r="C67" s="16" t="s">
        <v>47</v>
      </c>
      <c r="D67" s="15" t="s">
        <v>48</v>
      </c>
      <c r="E67" s="18" t="n">
        <v>0.5</v>
      </c>
      <c r="F67" s="29" t="n">
        <f aca="false">IFERROR(INDEX(Insumos!$F$4:$F$168,MATCH($C67,Insumos!$A$4:$A$168,0)),1)</f>
        <v>1</v>
      </c>
      <c r="G67" s="30" t="n">
        <f aca="false">IFERROR(E67/F67,0)</f>
        <v>0.5</v>
      </c>
      <c r="H67" s="31" t="n">
        <f aca="false">Insumos!$G$4</f>
        <v>27.661973587891</v>
      </c>
      <c r="I67" s="27" t="n">
        <f aca="false">G67*H67</f>
        <v>13.8309867939455</v>
      </c>
    </row>
    <row r="68" customFormat="false" ht="15" hidden="false" customHeight="false" outlineLevel="0" collapsed="false">
      <c r="A68" s="15" t="s">
        <v>449</v>
      </c>
      <c r="B68" s="15" t="s">
        <v>450</v>
      </c>
      <c r="C68" s="16" t="s">
        <v>150</v>
      </c>
      <c r="D68" s="15" t="s">
        <v>151</v>
      </c>
      <c r="E68" s="18" t="n">
        <v>0.4</v>
      </c>
      <c r="F68" s="29" t="n">
        <f aca="false">IFERROR(INDEX(Insumos!$F$4:$F$168,MATCH($C68,Insumos!$A$4:$A$168,0)),1)</f>
        <v>0.95</v>
      </c>
      <c r="G68" s="30" t="n">
        <f aca="false">IFERROR(E68/F68,0)</f>
        <v>0.421052631578947</v>
      </c>
      <c r="H68" s="31" t="n">
        <f aca="false">IFERROR(INDEX(Insumos!$G$20:$G$168,MATCH($C68,Insumos!$A$20:$A$168,0)),0)</f>
        <v>30</v>
      </c>
      <c r="I68" s="27" t="n">
        <f aca="false">G68*H68</f>
        <v>12.6315789473684</v>
      </c>
    </row>
    <row r="69" customFormat="false" ht="15" hidden="false" customHeight="false" outlineLevel="0" collapsed="false">
      <c r="A69" s="15" t="s">
        <v>451</v>
      </c>
      <c r="B69" s="15" t="s">
        <v>452</v>
      </c>
      <c r="C69" s="16" t="s">
        <v>305</v>
      </c>
      <c r="D69" s="15" t="s">
        <v>306</v>
      </c>
      <c r="E69" s="18" t="n">
        <v>0.6</v>
      </c>
      <c r="F69" s="29" t="n">
        <f aca="false">IFERROR(INDEX(Insumos!$F$4:$F$168,MATCH($C69,Insumos!$A$4:$A$168,0)),1)</f>
        <v>0.98</v>
      </c>
      <c r="G69" s="30" t="n">
        <f aca="false">IFERROR(E69/F69,0)</f>
        <v>0.612244897959184</v>
      </c>
      <c r="H69" s="31" t="n">
        <f aca="false">IFERROR(INDEX(Insumos!$G$20:$G$168,MATCH($C69,Insumos!$A$20:$A$168,0)),0)</f>
        <v>14.0501</v>
      </c>
      <c r="I69" s="27" t="n">
        <f aca="false">G69*H69</f>
        <v>8.60210204081633</v>
      </c>
    </row>
    <row r="70" customFormat="false" ht="15" hidden="false" customHeight="false" outlineLevel="0" collapsed="false">
      <c r="A70" s="15" t="s">
        <v>451</v>
      </c>
      <c r="B70" s="15" t="s">
        <v>452</v>
      </c>
      <c r="C70" s="16" t="s">
        <v>56</v>
      </c>
      <c r="D70" s="15" t="s">
        <v>57</v>
      </c>
      <c r="E70" s="18" t="n">
        <v>0.3</v>
      </c>
      <c r="F70" s="29" t="n">
        <f aca="false">IFERROR(INDEX(Insumos!$F$4:$F$168,MATCH($C70,Insumos!$A$4:$A$168,0)),1)</f>
        <v>1</v>
      </c>
      <c r="G70" s="30" t="n">
        <f aca="false">IFERROR(E70/F70,0)</f>
        <v>0.3</v>
      </c>
      <c r="H70" s="31" t="n">
        <f aca="false">Insumos!$G$7</f>
        <v>34.8859116222301</v>
      </c>
      <c r="I70" s="27" t="n">
        <f aca="false">G70*H70</f>
        <v>10.465773486669</v>
      </c>
    </row>
    <row r="71" customFormat="false" ht="15" hidden="false" customHeight="false" outlineLevel="0" collapsed="false">
      <c r="A71" s="15" t="s">
        <v>451</v>
      </c>
      <c r="B71" s="15" t="s">
        <v>452</v>
      </c>
      <c r="C71" s="16" t="s">
        <v>47</v>
      </c>
      <c r="D71" s="15" t="s">
        <v>48</v>
      </c>
      <c r="E71" s="18" t="n">
        <v>0.5</v>
      </c>
      <c r="F71" s="29" t="n">
        <f aca="false">IFERROR(INDEX(Insumos!$F$4:$F$168,MATCH($C71,Insumos!$A$4:$A$168,0)),1)</f>
        <v>1</v>
      </c>
      <c r="G71" s="30" t="n">
        <f aca="false">IFERROR(E71/F71,0)</f>
        <v>0.5</v>
      </c>
      <c r="H71" s="31" t="n">
        <f aca="false">Insumos!$G$4</f>
        <v>27.661973587891</v>
      </c>
      <c r="I71" s="27" t="n">
        <f aca="false">G71*H71</f>
        <v>13.8309867939455</v>
      </c>
    </row>
    <row r="72" customFormat="false" ht="15" hidden="false" customHeight="false" outlineLevel="0" collapsed="false">
      <c r="A72" s="15" t="s">
        <v>451</v>
      </c>
      <c r="B72" s="15" t="s">
        <v>452</v>
      </c>
      <c r="C72" s="16" t="s">
        <v>150</v>
      </c>
      <c r="D72" s="15" t="s">
        <v>151</v>
      </c>
      <c r="E72" s="18" t="n">
        <v>0.2</v>
      </c>
      <c r="F72" s="29" t="n">
        <f aca="false">IFERROR(INDEX(Insumos!$F$4:$F$168,MATCH($C72,Insumos!$A$4:$A$168,0)),1)</f>
        <v>0.95</v>
      </c>
      <c r="G72" s="30" t="n">
        <f aca="false">IFERROR(E72/F72,0)</f>
        <v>0.210526315789474</v>
      </c>
      <c r="H72" s="31" t="n">
        <f aca="false">IFERROR(INDEX(Insumos!$G$20:$G$168,MATCH($C72,Insumos!$A$20:$A$168,0)),0)</f>
        <v>30</v>
      </c>
      <c r="I72" s="27" t="n">
        <f aca="false">G72*H72</f>
        <v>6.31578947368421</v>
      </c>
    </row>
    <row r="73" customFormat="false" ht="15" hidden="false" customHeight="false" outlineLevel="0" collapsed="false">
      <c r="A73" s="15" t="s">
        <v>453</v>
      </c>
      <c r="B73" s="15" t="s">
        <v>454</v>
      </c>
      <c r="C73" s="16" t="s">
        <v>47</v>
      </c>
      <c r="D73" s="15" t="s">
        <v>48</v>
      </c>
      <c r="E73" s="18" t="n">
        <v>0.01</v>
      </c>
      <c r="F73" s="29" t="n">
        <f aca="false">IFERROR(INDEX(Insumos!$F$4:$F$168,MATCH($C73,Insumos!$A$4:$A$168,0)),1)</f>
        <v>1</v>
      </c>
      <c r="G73" s="30" t="n">
        <f aca="false">IFERROR(E73/F73,0)</f>
        <v>0.01</v>
      </c>
      <c r="H73" s="31" t="n">
        <f aca="false">Insumos!$G$4</f>
        <v>27.661973587891</v>
      </c>
      <c r="I73" s="27" t="n">
        <f aca="false">G73*H73</f>
        <v>0.27661973587891</v>
      </c>
    </row>
    <row r="74" customFormat="false" ht="15" hidden="false" customHeight="false" outlineLevel="0" collapsed="false">
      <c r="A74" s="15" t="s">
        <v>453</v>
      </c>
      <c r="B74" s="15" t="s">
        <v>454</v>
      </c>
      <c r="C74" s="16" t="s">
        <v>355</v>
      </c>
      <c r="D74" s="15" t="s">
        <v>356</v>
      </c>
      <c r="E74" s="18" t="n">
        <v>1</v>
      </c>
      <c r="F74" s="29" t="n">
        <f aca="false">IFERROR(INDEX(Insumos!$F$4:$F$168,MATCH($C74,Insumos!$A$4:$A$168,0)),1)</f>
        <v>1</v>
      </c>
      <c r="G74" s="30" t="n">
        <f aca="false">IFERROR(E74/F74,0)</f>
        <v>1</v>
      </c>
      <c r="H74" s="31" t="n">
        <f aca="false">IFERROR(INDEX(Insumos!$G$20:$G$168,MATCH($C74,Insumos!$A$20:$A$168,0)),0)</f>
        <v>1.1125</v>
      </c>
      <c r="I74" s="27" t="n">
        <f aca="false">G74*H74</f>
        <v>1.1125</v>
      </c>
    </row>
    <row r="75" customFormat="false" ht="15" hidden="false" customHeight="false" outlineLevel="0" collapsed="false">
      <c r="A75" s="15" t="s">
        <v>453</v>
      </c>
      <c r="B75" s="15" t="s">
        <v>454</v>
      </c>
      <c r="C75" s="16" t="s">
        <v>56</v>
      </c>
      <c r="D75" s="15" t="s">
        <v>57</v>
      </c>
      <c r="E75" s="18" t="n">
        <v>0.05</v>
      </c>
      <c r="F75" s="29" t="n">
        <f aca="false">IFERROR(INDEX(Insumos!$F$4:$F$168,MATCH($C75,Insumos!$A$4:$A$168,0)),1)</f>
        <v>1</v>
      </c>
      <c r="G75" s="30" t="n">
        <f aca="false">IFERROR(E75/F75,0)</f>
        <v>0.05</v>
      </c>
      <c r="H75" s="31" t="n">
        <f aca="false">Insumos!$G$7</f>
        <v>34.8859116222301</v>
      </c>
      <c r="I75" s="27" t="n">
        <f aca="false">G75*H75</f>
        <v>1.74429558111151</v>
      </c>
    </row>
    <row r="76" customFormat="false" ht="15" hidden="false" customHeight="false" outlineLevel="0" collapsed="false">
      <c r="A76" s="15" t="s">
        <v>453</v>
      </c>
      <c r="B76" s="15" t="s">
        <v>454</v>
      </c>
      <c r="C76" s="16" t="s">
        <v>92</v>
      </c>
      <c r="D76" s="15" t="s">
        <v>93</v>
      </c>
      <c r="E76" s="18" t="n">
        <v>0.02</v>
      </c>
      <c r="F76" s="29" t="n">
        <f aca="false">IFERROR(INDEX(Insumos!$F$4:$F$168,MATCH($C76,Insumos!$A$4:$A$168,0)),1)</f>
        <v>0.79</v>
      </c>
      <c r="G76" s="30" t="n">
        <f aca="false">IFERROR(E76/F76,0)</f>
        <v>0.0253164556962025</v>
      </c>
      <c r="H76" s="31" t="n">
        <f aca="false">IFERROR(INDEX(Insumos!$G$20:$G$168,MATCH($C76,Insumos!$A$20:$A$168,0)),0)</f>
        <v>5</v>
      </c>
      <c r="I76" s="27" t="n">
        <f aca="false">G76*H76</f>
        <v>0.126582278481013</v>
      </c>
    </row>
    <row r="77" customFormat="false" ht="15" hidden="false" customHeight="false" outlineLevel="0" collapsed="false">
      <c r="A77" s="15" t="s">
        <v>453</v>
      </c>
      <c r="B77" s="15" t="s">
        <v>454</v>
      </c>
      <c r="C77" s="16" t="s">
        <v>393</v>
      </c>
      <c r="D77" s="15" t="s">
        <v>394</v>
      </c>
      <c r="E77" s="18" t="n">
        <v>0.015</v>
      </c>
      <c r="F77" s="29" t="n">
        <f aca="false">IFERROR(INDEX(Insumos!$F$4:$F$168,MATCH($C77,Insumos!$A$4:$A$168,0)),1)</f>
        <v>1</v>
      </c>
      <c r="G77" s="30" t="n">
        <f aca="false">IFERROR(E77/F77,0)</f>
        <v>0.015</v>
      </c>
      <c r="H77" s="31" t="n">
        <f aca="false">IFERROR(INDEX(Insumos!$G$20:$G$168,MATCH($C77,Insumos!$A$20:$A$168,0)),0)</f>
        <v>6</v>
      </c>
      <c r="I77" s="27" t="n">
        <f aca="false">G77*H77</f>
        <v>0.09</v>
      </c>
    </row>
    <row r="78" customFormat="false" ht="15" hidden="false" customHeight="false" outlineLevel="0" collapsed="false">
      <c r="A78" s="15" t="s">
        <v>456</v>
      </c>
      <c r="B78" s="15" t="s">
        <v>457</v>
      </c>
      <c r="C78" s="16" t="s">
        <v>336</v>
      </c>
      <c r="D78" s="15" t="s">
        <v>337</v>
      </c>
      <c r="E78" s="18" t="n">
        <v>0.2</v>
      </c>
      <c r="F78" s="29" t="n">
        <f aca="false">IFERROR(INDEX(Insumos!$F$4:$F$168,MATCH($C78,Insumos!$A$4:$A$168,0)),1)</f>
        <v>1</v>
      </c>
      <c r="G78" s="30" t="n">
        <f aca="false">IFERROR(E78/F78,0)</f>
        <v>0.2</v>
      </c>
      <c r="H78" s="31" t="n">
        <f aca="false">IFERROR(INDEX(Insumos!$G$20:$G$168,MATCH($C78,Insumos!$A$20:$A$168,0)),0)</f>
        <v>15</v>
      </c>
      <c r="I78" s="27" t="n">
        <f aca="false">G78*H78</f>
        <v>3</v>
      </c>
    </row>
    <row r="79" customFormat="false" ht="15" hidden="false" customHeight="false" outlineLevel="0" collapsed="false">
      <c r="A79" s="15" t="s">
        <v>456</v>
      </c>
      <c r="B79" s="15" t="s">
        <v>457</v>
      </c>
      <c r="C79" s="16" t="s">
        <v>210</v>
      </c>
      <c r="D79" s="15" t="s">
        <v>211</v>
      </c>
      <c r="E79" s="18" t="n">
        <v>0.15</v>
      </c>
      <c r="F79" s="29" t="n">
        <f aca="false">IFERROR(INDEX(Insumos!$F$4:$F$168,MATCH($C79,Insumos!$A$4:$A$168,0)),1)</f>
        <v>0.98</v>
      </c>
      <c r="G79" s="30" t="n">
        <f aca="false">IFERROR(E79/F79,0)</f>
        <v>0.153061224489796</v>
      </c>
      <c r="H79" s="31" t="n">
        <f aca="false">IFERROR(INDEX(Insumos!$G$20:$G$168,MATCH($C79,Insumos!$A$20:$A$168,0)),0)</f>
        <v>7.49</v>
      </c>
      <c r="I79" s="27" t="n">
        <f aca="false">G79*H79</f>
        <v>1.14642857142857</v>
      </c>
    </row>
    <row r="80" customFormat="false" ht="15" hidden="false" customHeight="false" outlineLevel="0" collapsed="false">
      <c r="A80" s="15" t="s">
        <v>456</v>
      </c>
      <c r="B80" s="15" t="s">
        <v>457</v>
      </c>
      <c r="C80" s="16" t="s">
        <v>403</v>
      </c>
      <c r="D80" s="15" t="s">
        <v>404</v>
      </c>
      <c r="E80" s="18" t="n">
        <v>0.15</v>
      </c>
      <c r="F80" s="29" t="n">
        <f aca="false">IFERROR(INDEX(Insumos!$F$4:$F$168,MATCH($C80,Insumos!$A$4:$A$168,0)),1)</f>
        <v>0.98</v>
      </c>
      <c r="G80" s="30" t="n">
        <f aca="false">IFERROR(E80/F80,0)</f>
        <v>0.153061224489796</v>
      </c>
      <c r="H80" s="31" t="n">
        <f aca="false">IFERROR(INDEX(Insumos!$G$20:$G$168,MATCH($C80,Insumos!$A$20:$A$168,0)),0)</f>
        <v>1.5</v>
      </c>
      <c r="I80" s="27" t="n">
        <f aca="false">G80*H80</f>
        <v>0.229591836734694</v>
      </c>
    </row>
    <row r="81" customFormat="false" ht="15" hidden="false" customHeight="false" outlineLevel="0" collapsed="false">
      <c r="A81" s="15" t="s">
        <v>456</v>
      </c>
      <c r="B81" s="15" t="s">
        <v>457</v>
      </c>
      <c r="C81" s="16" t="s">
        <v>228</v>
      </c>
      <c r="D81" s="15" t="s">
        <v>229</v>
      </c>
      <c r="E81" s="18" t="n">
        <v>0.01</v>
      </c>
      <c r="F81" s="29" t="n">
        <f aca="false">IFERROR(INDEX(Insumos!$F$4:$F$168,MATCH($C81,Insumos!$A$4:$A$168,0)),1)</f>
        <v>0.98</v>
      </c>
      <c r="G81" s="30" t="n">
        <f aca="false">IFERROR(E81/F81,0)</f>
        <v>0.0102040816326531</v>
      </c>
      <c r="H81" s="31" t="n">
        <f aca="false">IFERROR(INDEX(Insumos!$G$20:$G$168,MATCH($C81,Insumos!$A$20:$A$168,0)),0)</f>
        <v>55.96</v>
      </c>
      <c r="I81" s="27" t="n">
        <f aca="false">G81*H81</f>
        <v>0.571020408163265</v>
      </c>
    </row>
    <row r="82" customFormat="false" ht="15" hidden="false" customHeight="false" outlineLevel="0" collapsed="false">
      <c r="A82" s="15" t="s">
        <v>456</v>
      </c>
      <c r="B82" s="15" t="s">
        <v>457</v>
      </c>
      <c r="C82" s="16" t="s">
        <v>56</v>
      </c>
      <c r="D82" s="15" t="s">
        <v>57</v>
      </c>
      <c r="E82" s="18" t="n">
        <v>0.35</v>
      </c>
      <c r="F82" s="29" t="n">
        <f aca="false">IFERROR(INDEX(Insumos!$F$4:$F$168,MATCH($C82,Insumos!$A$4:$A$168,0)),1)</f>
        <v>1</v>
      </c>
      <c r="G82" s="30" t="n">
        <f aca="false">IFERROR(E82/F82,0)</f>
        <v>0.35</v>
      </c>
      <c r="H82" s="31" t="n">
        <f aca="false">Insumos!$G$7</f>
        <v>34.8859116222301</v>
      </c>
      <c r="I82" s="27" t="n">
        <f aca="false">G82*H82</f>
        <v>12.2100690677805</v>
      </c>
    </row>
    <row r="83" customFormat="false" ht="15" hidden="false" customHeight="false" outlineLevel="0" collapsed="false">
      <c r="A83" s="15" t="s">
        <v>456</v>
      </c>
      <c r="B83" s="15" t="s">
        <v>457</v>
      </c>
      <c r="C83" s="16" t="s">
        <v>111</v>
      </c>
      <c r="D83" s="15" t="s">
        <v>112</v>
      </c>
      <c r="E83" s="18" t="n">
        <v>0.1</v>
      </c>
      <c r="F83" s="29" t="n">
        <f aca="false">IFERROR(INDEX(Insumos!$F$4:$F$168,MATCH($C83,Insumos!$A$4:$A$168,0)),1)</f>
        <v>0.98</v>
      </c>
      <c r="G83" s="30" t="n">
        <f aca="false">IFERROR(E83/F83,0)</f>
        <v>0.102040816326531</v>
      </c>
      <c r="H83" s="31" t="n">
        <f aca="false">IFERROR(INDEX(Insumos!$G$20:$G$168,MATCH($C83,Insumos!$A$20:$A$168,0)),0)</f>
        <v>16.9</v>
      </c>
      <c r="I83" s="27" t="n">
        <f aca="false">G83*H83</f>
        <v>1.72448979591837</v>
      </c>
    </row>
    <row r="84" customFormat="false" ht="15" hidden="false" customHeight="false" outlineLevel="0" collapsed="false">
      <c r="A84" s="15" t="s">
        <v>456</v>
      </c>
      <c r="B84" s="15" t="s">
        <v>457</v>
      </c>
      <c r="C84" s="16" t="s">
        <v>366</v>
      </c>
      <c r="D84" s="15" t="s">
        <v>367</v>
      </c>
      <c r="E84" s="18" t="n">
        <v>0.005</v>
      </c>
      <c r="F84" s="29" t="n">
        <f aca="false">IFERROR(INDEX(Insumos!$F$4:$F$168,MATCH($C84,Insumos!$A$4:$A$168,0)),1)</f>
        <v>0.98</v>
      </c>
      <c r="G84" s="30" t="n">
        <f aca="false">IFERROR(E84/F84,0)</f>
        <v>0.00510204081632653</v>
      </c>
      <c r="H84" s="31" t="n">
        <f aca="false">IFERROR(INDEX(Insumos!$G$20:$G$168,MATCH($C84,Insumos!$A$20:$A$168,0)),0)</f>
        <v>5</v>
      </c>
      <c r="I84" s="27" t="n">
        <f aca="false">G84*H84</f>
        <v>0.0255102040816327</v>
      </c>
    </row>
    <row r="85" customFormat="false" ht="15" hidden="false" customHeight="false" outlineLevel="0" collapsed="false">
      <c r="A85" s="15" t="s">
        <v>456</v>
      </c>
      <c r="B85" s="15" t="s">
        <v>457</v>
      </c>
      <c r="C85" s="16" t="s">
        <v>118</v>
      </c>
      <c r="D85" s="15" t="s">
        <v>119</v>
      </c>
      <c r="E85" s="18" t="n">
        <v>0.075</v>
      </c>
      <c r="F85" s="29" t="n">
        <f aca="false">IFERROR(INDEX(Insumos!$F$4:$F$168,MATCH($C85,Insumos!$A$4:$A$168,0)),1)</f>
        <v>0.95</v>
      </c>
      <c r="G85" s="30" t="n">
        <f aca="false">IFERROR(E85/F85,0)</f>
        <v>0.0789473684210526</v>
      </c>
      <c r="H85" s="31" t="n">
        <f aca="false">IFERROR(INDEX(Insumos!$G$20:$G$168,MATCH($C85,Insumos!$A$20:$A$168,0)),0)</f>
        <v>20</v>
      </c>
      <c r="I85" s="27" t="n">
        <f aca="false">G85*H85</f>
        <v>1.57894736842105</v>
      </c>
    </row>
    <row r="86" customFormat="false" ht="15" hidden="false" customHeight="false" outlineLevel="0" collapsed="false">
      <c r="A86" s="15" t="s">
        <v>459</v>
      </c>
      <c r="B86" s="15" t="s">
        <v>460</v>
      </c>
      <c r="C86" s="16" t="s">
        <v>338</v>
      </c>
      <c r="D86" s="15" t="s">
        <v>339</v>
      </c>
      <c r="E86" s="18" t="n">
        <v>0.01</v>
      </c>
      <c r="F86" s="29" t="n">
        <f aca="false">IFERROR(INDEX(Insumos!$F$4:$F$168,MATCH($C86,Insumos!$A$4:$A$168,0)),1)</f>
        <v>0.98</v>
      </c>
      <c r="G86" s="30" t="n">
        <f aca="false">IFERROR(E86/F86,0)</f>
        <v>0.0102040816326531</v>
      </c>
      <c r="H86" s="31" t="n">
        <f aca="false">IFERROR(INDEX(Insumos!$G$20:$G$168,MATCH($C86,Insumos!$A$20:$A$168,0)),0)</f>
        <v>30</v>
      </c>
      <c r="I86" s="27" t="n">
        <f aca="false">G86*H86</f>
        <v>0.306122448979592</v>
      </c>
    </row>
    <row r="87" customFormat="false" ht="15" hidden="false" customHeight="false" outlineLevel="0" collapsed="false">
      <c r="A87" s="15" t="s">
        <v>459</v>
      </c>
      <c r="B87" s="15" t="s">
        <v>460</v>
      </c>
      <c r="C87" s="16" t="s">
        <v>403</v>
      </c>
      <c r="D87" s="15" t="s">
        <v>404</v>
      </c>
      <c r="E87" s="18" t="n">
        <v>0.1</v>
      </c>
      <c r="F87" s="29" t="n">
        <f aca="false">IFERROR(INDEX(Insumos!$F$4:$F$168,MATCH($C87,Insumos!$A$4:$A$168,0)),1)</f>
        <v>0.98</v>
      </c>
      <c r="G87" s="30" t="n">
        <f aca="false">IFERROR(E87/F87,0)</f>
        <v>0.102040816326531</v>
      </c>
      <c r="H87" s="31" t="n">
        <f aca="false">IFERROR(INDEX(Insumos!$G$20:$G$168,MATCH($C87,Insumos!$A$20:$A$168,0)),0)</f>
        <v>1.5</v>
      </c>
      <c r="I87" s="27" t="n">
        <f aca="false">G87*H87</f>
        <v>0.153061224489796</v>
      </c>
    </row>
    <row r="88" customFormat="false" ht="15" hidden="false" customHeight="false" outlineLevel="0" collapsed="false">
      <c r="A88" s="15" t="s">
        <v>459</v>
      </c>
      <c r="B88" s="15" t="s">
        <v>460</v>
      </c>
      <c r="C88" s="16" t="s">
        <v>161</v>
      </c>
      <c r="D88" s="15" t="s">
        <v>162</v>
      </c>
      <c r="E88" s="18" t="n">
        <v>0.001</v>
      </c>
      <c r="F88" s="29" t="n">
        <f aca="false">IFERROR(INDEX(Insumos!$F$4:$F$168,MATCH($C88,Insumos!$A$4:$A$168,0)),1)</f>
        <v>0.98</v>
      </c>
      <c r="G88" s="30" t="n">
        <f aca="false">IFERROR(E88/F88,0)</f>
        <v>0.00102040816326531</v>
      </c>
      <c r="H88" s="31" t="n">
        <f aca="false">IFERROR(INDEX(Insumos!$G$20:$G$168,MATCH($C88,Insumos!$A$20:$A$168,0)),0)</f>
        <v>27</v>
      </c>
      <c r="I88" s="27" t="n">
        <f aca="false">G88*H88</f>
        <v>0.0275510204081633</v>
      </c>
    </row>
    <row r="89" customFormat="false" ht="15" hidden="false" customHeight="false" outlineLevel="0" collapsed="false">
      <c r="A89" s="15" t="s">
        <v>459</v>
      </c>
      <c r="B89" s="15" t="s">
        <v>460</v>
      </c>
      <c r="C89" s="16" t="s">
        <v>111</v>
      </c>
      <c r="D89" s="15" t="s">
        <v>112</v>
      </c>
      <c r="E89" s="18" t="n">
        <v>0.015</v>
      </c>
      <c r="F89" s="29" t="n">
        <f aca="false">IFERROR(INDEX(Insumos!$F$4:$F$168,MATCH($C89,Insumos!$A$4:$A$168,0)),1)</f>
        <v>0.98</v>
      </c>
      <c r="G89" s="30" t="n">
        <f aca="false">IFERROR(E89/F89,0)</f>
        <v>0.0153061224489796</v>
      </c>
      <c r="H89" s="31" t="n">
        <f aca="false">IFERROR(INDEX(Insumos!$G$20:$G$168,MATCH($C89,Insumos!$A$20:$A$168,0)),0)</f>
        <v>16.9</v>
      </c>
      <c r="I89" s="27" t="n">
        <f aca="false">G89*H89</f>
        <v>0.258673469387755</v>
      </c>
    </row>
    <row r="90" customFormat="false" ht="15" hidden="false" customHeight="false" outlineLevel="0" collapsed="false">
      <c r="A90" s="15" t="s">
        <v>459</v>
      </c>
      <c r="B90" s="15" t="s">
        <v>460</v>
      </c>
      <c r="C90" s="16" t="s">
        <v>130</v>
      </c>
      <c r="D90" s="15" t="s">
        <v>131</v>
      </c>
      <c r="E90" s="18" t="n">
        <v>0.1</v>
      </c>
      <c r="F90" s="29" t="n">
        <f aca="false">IFERROR(INDEX(Insumos!$F$4:$F$168,MATCH($C90,Insumos!$A$4:$A$168,0)),1)</f>
        <v>0.62</v>
      </c>
      <c r="G90" s="30" t="n">
        <f aca="false">IFERROR(E90/F90,0)</f>
        <v>0.161290322580645</v>
      </c>
      <c r="H90" s="31" t="n">
        <f aca="false">IFERROR(INDEX(Insumos!$G$20:$G$168,MATCH($C90,Insumos!$A$20:$A$168,0)),0)</f>
        <v>10</v>
      </c>
      <c r="I90" s="27" t="n">
        <f aca="false">G90*H90</f>
        <v>1.61290322580645</v>
      </c>
    </row>
    <row r="91" customFormat="false" ht="15" hidden="false" customHeight="false" outlineLevel="0" collapsed="false">
      <c r="A91" s="15" t="s">
        <v>47</v>
      </c>
      <c r="B91" s="15" t="s">
        <v>464</v>
      </c>
      <c r="C91" s="16" t="s">
        <v>165</v>
      </c>
      <c r="D91" s="15" t="s">
        <v>166</v>
      </c>
      <c r="E91" s="18" t="n">
        <v>0.2</v>
      </c>
      <c r="F91" s="29" t="n">
        <f aca="false">IFERROR(INDEX(Insumos!$F$4:$F$168,MATCH($C91,Insumos!$A$4:$A$168,0)),1)</f>
        <v>0.98</v>
      </c>
      <c r="G91" s="30" t="n">
        <f aca="false">IFERROR(E91/F91,0)</f>
        <v>0.204081632653061</v>
      </c>
      <c r="H91" s="31" t="n">
        <f aca="false">IFERROR(INDEX(Insumos!$G$20:$G$168,MATCH($C91,Insumos!$A$20:$A$168,0)),0)</f>
        <v>69.9</v>
      </c>
      <c r="I91" s="27" t="n">
        <f aca="false">G91*H91</f>
        <v>14.265306122449</v>
      </c>
    </row>
    <row r="92" customFormat="false" ht="15" hidden="false" customHeight="false" outlineLevel="0" collapsed="false">
      <c r="A92" s="15" t="s">
        <v>47</v>
      </c>
      <c r="B92" s="15" t="s">
        <v>464</v>
      </c>
      <c r="C92" s="16" t="s">
        <v>403</v>
      </c>
      <c r="D92" s="15" t="s">
        <v>404</v>
      </c>
      <c r="E92" s="18" t="n">
        <v>0.4</v>
      </c>
      <c r="F92" s="29" t="n">
        <f aca="false">IFERROR(INDEX(Insumos!$F$4:$F$168,MATCH($C92,Insumos!$A$4:$A$168,0)),1)</f>
        <v>0.98</v>
      </c>
      <c r="G92" s="30" t="n">
        <f aca="false">IFERROR(E92/F92,0)</f>
        <v>0.408163265306122</v>
      </c>
      <c r="H92" s="31" t="n">
        <f aca="false">IFERROR(INDEX(Insumos!$G$20:$G$168,MATCH($C92,Insumos!$A$20:$A$168,0)),0)</f>
        <v>1.5</v>
      </c>
      <c r="I92" s="27" t="n">
        <f aca="false">G92*H92</f>
        <v>0.612244897959184</v>
      </c>
    </row>
    <row r="93" customFormat="false" ht="15" hidden="false" customHeight="false" outlineLevel="0" collapsed="false">
      <c r="A93" s="15" t="s">
        <v>47</v>
      </c>
      <c r="B93" s="15" t="s">
        <v>464</v>
      </c>
      <c r="C93" s="16" t="s">
        <v>281</v>
      </c>
      <c r="D93" s="15" t="s">
        <v>282</v>
      </c>
      <c r="E93" s="18" t="n">
        <v>0.015</v>
      </c>
      <c r="F93" s="29" t="n">
        <f aca="false">IFERROR(INDEX(Insumos!$F$4:$F$168,MATCH($C93,Insumos!$A$4:$A$168,0)),1)</f>
        <v>0.98</v>
      </c>
      <c r="G93" s="30" t="n">
        <f aca="false">IFERROR(E93/F93,0)</f>
        <v>0.0153061224489796</v>
      </c>
      <c r="H93" s="31" t="n">
        <f aca="false">IFERROR(INDEX(Insumos!$G$20:$G$168,MATCH($C93,Insumos!$A$20:$A$168,0)),0)</f>
        <v>149.9</v>
      </c>
      <c r="I93" s="27" t="n">
        <f aca="false">G93*H93</f>
        <v>2.29438775510204</v>
      </c>
    </row>
    <row r="94" customFormat="false" ht="15" hidden="false" customHeight="false" outlineLevel="0" collapsed="false">
      <c r="A94" s="15" t="s">
        <v>47</v>
      </c>
      <c r="B94" s="15" t="s">
        <v>464</v>
      </c>
      <c r="C94" s="16" t="s">
        <v>366</v>
      </c>
      <c r="D94" s="15" t="s">
        <v>367</v>
      </c>
      <c r="E94" s="18" t="n">
        <v>0.005</v>
      </c>
      <c r="F94" s="29" t="n">
        <f aca="false">IFERROR(INDEX(Insumos!$F$4:$F$168,MATCH($C94,Insumos!$A$4:$A$168,0)),1)</f>
        <v>0.98</v>
      </c>
      <c r="G94" s="30" t="n">
        <f aca="false">IFERROR(E94/F94,0)</f>
        <v>0.00510204081632653</v>
      </c>
      <c r="H94" s="31" t="n">
        <f aca="false">IFERROR(INDEX(Insumos!$G$20:$G$168,MATCH($C94,Insumos!$A$20:$A$168,0)),0)</f>
        <v>5</v>
      </c>
      <c r="I94" s="27" t="n">
        <f aca="false">G94*H94</f>
        <v>0.0255102040816327</v>
      </c>
    </row>
    <row r="95" customFormat="false" ht="15" hidden="false" customHeight="false" outlineLevel="0" collapsed="false">
      <c r="A95" s="15" t="s">
        <v>465</v>
      </c>
      <c r="B95" s="15" t="s">
        <v>466</v>
      </c>
      <c r="C95" s="16" t="s">
        <v>73</v>
      </c>
      <c r="D95" s="15" t="s">
        <v>74</v>
      </c>
      <c r="E95" s="18" t="n">
        <v>0.15</v>
      </c>
      <c r="F95" s="29" t="n">
        <f aca="false">IFERROR(INDEX(Insumos!$F$4:$F$168,MATCH($C95,Insumos!$A$4:$A$168,0)),1)</f>
        <v>0.98</v>
      </c>
      <c r="G95" s="30" t="n">
        <f aca="false">IFERROR(E95/F95,0)</f>
        <v>0.153061224489796</v>
      </c>
      <c r="H95" s="31" t="n">
        <f aca="false">Insumos!$G$15</f>
        <v>10.2195983630848</v>
      </c>
      <c r="I95" s="27" t="n">
        <f aca="false">G95*H95</f>
        <v>1.56422423924768</v>
      </c>
    </row>
    <row r="96" customFormat="false" ht="15" hidden="false" customHeight="false" outlineLevel="0" collapsed="false">
      <c r="A96" s="15" t="s">
        <v>465</v>
      </c>
      <c r="B96" s="15" t="s">
        <v>466</v>
      </c>
      <c r="C96" s="16" t="s">
        <v>75</v>
      </c>
      <c r="D96" s="15" t="s">
        <v>76</v>
      </c>
      <c r="E96" s="18" t="n">
        <v>0.45</v>
      </c>
      <c r="F96" s="29" t="n">
        <f aca="false">IFERROR(INDEX(Insumos!$F$4:$F$168,MATCH($C96,Insumos!$A$4:$A$168,0)),1)</f>
        <v>1</v>
      </c>
      <c r="G96" s="30" t="n">
        <f aca="false">IFERROR(E96/F96,0)</f>
        <v>0.45</v>
      </c>
      <c r="H96" s="31" t="n">
        <f aca="false">Insumos!$G$16</f>
        <v>12.142727971034</v>
      </c>
      <c r="I96" s="27" t="n">
        <f aca="false">G96*H96</f>
        <v>5.4642275869653</v>
      </c>
    </row>
    <row r="97" customFormat="false" ht="15" hidden="false" customHeight="false" outlineLevel="0" collapsed="false">
      <c r="A97" s="15" t="s">
        <v>465</v>
      </c>
      <c r="B97" s="15" t="s">
        <v>466</v>
      </c>
      <c r="C97" s="16" t="s">
        <v>159</v>
      </c>
      <c r="D97" s="15" t="s">
        <v>160</v>
      </c>
      <c r="E97" s="18" t="n">
        <v>0.2</v>
      </c>
      <c r="F97" s="29" t="n">
        <f aca="false">IFERROR(INDEX(Insumos!$F$4:$F$168,MATCH($C97,Insumos!$A$4:$A$168,0)),1)</f>
        <v>0.98</v>
      </c>
      <c r="G97" s="30" t="n">
        <f aca="false">IFERROR(E97/F97,0)</f>
        <v>0.204081632653061</v>
      </c>
      <c r="H97" s="31" t="n">
        <f aca="false">IFERROR(INDEX(Insumos!$G$20:$G$168,MATCH($C97,Insumos!$A$20:$A$168,0)),0)</f>
        <v>10</v>
      </c>
      <c r="I97" s="27" t="n">
        <f aca="false">G97*H97</f>
        <v>2.04081632653061</v>
      </c>
    </row>
    <row r="98" customFormat="false" ht="15" hidden="false" customHeight="false" outlineLevel="0" collapsed="false">
      <c r="A98" s="15" t="s">
        <v>465</v>
      </c>
      <c r="B98" s="15" t="s">
        <v>466</v>
      </c>
      <c r="C98" s="16" t="s">
        <v>366</v>
      </c>
      <c r="D98" s="15" t="s">
        <v>367</v>
      </c>
      <c r="E98" s="18" t="n">
        <v>0.01</v>
      </c>
      <c r="F98" s="29" t="n">
        <f aca="false">IFERROR(INDEX(Insumos!$F$4:$F$168,MATCH($C98,Insumos!$A$4:$A$168,0)),1)</f>
        <v>0.98</v>
      </c>
      <c r="G98" s="30" t="n">
        <f aca="false">IFERROR(E98/F98,0)</f>
        <v>0.0102040816326531</v>
      </c>
      <c r="H98" s="31" t="n">
        <f aca="false">IFERROR(INDEX(Insumos!$G$20:$G$168,MATCH($C98,Insumos!$A$20:$A$168,0)),0)</f>
        <v>5</v>
      </c>
      <c r="I98" s="27" t="n">
        <f aca="false">G98*H98</f>
        <v>0.0510204081632653</v>
      </c>
    </row>
    <row r="99" customFormat="false" ht="15" hidden="false" customHeight="false" outlineLevel="0" collapsed="false">
      <c r="A99" s="15" t="s">
        <v>465</v>
      </c>
      <c r="B99" s="15" t="s">
        <v>466</v>
      </c>
      <c r="C99" s="16" t="s">
        <v>118</v>
      </c>
      <c r="D99" s="15" t="s">
        <v>119</v>
      </c>
      <c r="E99" s="18" t="n">
        <v>0.02</v>
      </c>
      <c r="F99" s="29" t="n">
        <f aca="false">IFERROR(INDEX(Insumos!$F$4:$F$168,MATCH($C99,Insumos!$A$4:$A$168,0)),1)</f>
        <v>0.95</v>
      </c>
      <c r="G99" s="30" t="n">
        <f aca="false">IFERROR(E99/F99,0)</f>
        <v>0.0210526315789474</v>
      </c>
      <c r="H99" s="31" t="n">
        <f aca="false">IFERROR(INDEX(Insumos!$G$20:$G$168,MATCH($C99,Insumos!$A$20:$A$168,0)),0)</f>
        <v>20</v>
      </c>
      <c r="I99" s="27" t="n">
        <f aca="false">G99*H99</f>
        <v>0.421052631578947</v>
      </c>
    </row>
    <row r="100" customFormat="false" ht="15" hidden="false" customHeight="false" outlineLevel="0" collapsed="false">
      <c r="A100" s="15" t="s">
        <v>467</v>
      </c>
      <c r="B100" s="15" t="s">
        <v>468</v>
      </c>
      <c r="C100" s="16" t="s">
        <v>133</v>
      </c>
      <c r="D100" s="15" t="s">
        <v>134</v>
      </c>
      <c r="E100" s="18" t="n">
        <v>0.75</v>
      </c>
      <c r="F100" s="29" t="n">
        <f aca="false">IFERROR(INDEX(Insumos!$F$4:$F$168,MATCH($C100,Insumos!$A$4:$A$168,0)),1)</f>
        <v>0.85</v>
      </c>
      <c r="G100" s="30" t="n">
        <f aca="false">IFERROR(E100/F100,0)</f>
        <v>0.882352941176471</v>
      </c>
      <c r="H100" s="31" t="n">
        <f aca="false">IFERROR(INDEX(Insumos!$G$20:$G$168,MATCH($C100,Insumos!$A$20:$A$168,0)),0)</f>
        <v>8</v>
      </c>
      <c r="I100" s="27" t="n">
        <f aca="false">G100*H100</f>
        <v>7.05882352941176</v>
      </c>
    </row>
    <row r="101" customFormat="false" ht="15" hidden="false" customHeight="false" outlineLevel="0" collapsed="false">
      <c r="A101" s="15" t="s">
        <v>467</v>
      </c>
      <c r="B101" s="15" t="s">
        <v>468</v>
      </c>
      <c r="C101" s="16" t="s">
        <v>54</v>
      </c>
      <c r="D101" s="15" t="s">
        <v>55</v>
      </c>
      <c r="E101" s="18" t="n">
        <v>0.5</v>
      </c>
      <c r="F101" s="29" t="n">
        <f aca="false">IFERROR(INDEX(Insumos!$F$4:$F$168,MATCH($C101,Insumos!$A$4:$A$168,0)),1)</f>
        <v>0.5</v>
      </c>
      <c r="G101" s="30" t="n">
        <f aca="false">IFERROR(E101/F101,0)</f>
        <v>1</v>
      </c>
      <c r="H101" s="31" t="n">
        <f aca="false">Insumos!$G$6</f>
        <v>22.9029433703306</v>
      </c>
      <c r="I101" s="27" t="n">
        <f aca="false">G101*H101</f>
        <v>22.9029433703306</v>
      </c>
    </row>
    <row r="102" customFormat="false" ht="15" hidden="false" customHeight="false" outlineLevel="0" collapsed="false">
      <c r="A102" s="15" t="s">
        <v>467</v>
      </c>
      <c r="B102" s="15" t="s">
        <v>468</v>
      </c>
      <c r="C102" s="16" t="s">
        <v>169</v>
      </c>
      <c r="D102" s="15" t="s">
        <v>170</v>
      </c>
      <c r="E102" s="18" t="n">
        <v>0.15</v>
      </c>
      <c r="F102" s="29" t="n">
        <f aca="false">IFERROR(INDEX(Insumos!$F$4:$F$168,MATCH($C102,Insumos!$A$4:$A$168,0)),1)</f>
        <v>0.84</v>
      </c>
      <c r="G102" s="30" t="n">
        <f aca="false">IFERROR(E102/F102,0)</f>
        <v>0.178571428571429</v>
      </c>
      <c r="H102" s="31" t="n">
        <f aca="false">IFERROR(INDEX(Insumos!$G$20:$G$168,MATCH($C102,Insumos!$A$20:$A$168,0)),0)</f>
        <v>6</v>
      </c>
      <c r="I102" s="27" t="n">
        <f aca="false">G102*H102</f>
        <v>1.07142857142857</v>
      </c>
    </row>
    <row r="103" customFormat="false" ht="15" hidden="false" customHeight="false" outlineLevel="0" collapsed="false">
      <c r="A103" s="15" t="s">
        <v>467</v>
      </c>
      <c r="B103" s="15" t="s">
        <v>468</v>
      </c>
      <c r="C103" s="16" t="s">
        <v>94</v>
      </c>
      <c r="D103" s="15" t="s">
        <v>95</v>
      </c>
      <c r="E103" s="18" t="n">
        <v>0.005</v>
      </c>
      <c r="F103" s="29" t="n">
        <f aca="false">IFERROR(INDEX(Insumos!$F$4:$F$168,MATCH($C103,Insumos!$A$4:$A$168,0)),1)</f>
        <v>0.88</v>
      </c>
      <c r="G103" s="30" t="n">
        <f aca="false">IFERROR(E103/F103,0)</f>
        <v>0.00568181818181818</v>
      </c>
      <c r="H103" s="31" t="n">
        <f aca="false">IFERROR(INDEX(Insumos!$G$20:$G$168,MATCH($C103,Insumos!$A$20:$A$168,0)),0)</f>
        <v>24.99</v>
      </c>
      <c r="I103" s="27" t="n">
        <f aca="false">G103*H103</f>
        <v>0.141988636363636</v>
      </c>
    </row>
    <row r="104" customFormat="false" ht="15" hidden="false" customHeight="false" outlineLevel="0" collapsed="false">
      <c r="A104" s="15" t="s">
        <v>467</v>
      </c>
      <c r="B104" s="15" t="s">
        <v>468</v>
      </c>
      <c r="C104" s="16" t="s">
        <v>366</v>
      </c>
      <c r="D104" s="15" t="s">
        <v>367</v>
      </c>
      <c r="E104" s="18" t="n">
        <v>0.015</v>
      </c>
      <c r="F104" s="29" t="n">
        <f aca="false">IFERROR(INDEX(Insumos!$F$4:$F$168,MATCH($C104,Insumos!$A$4:$A$168,0)),1)</f>
        <v>0.98</v>
      </c>
      <c r="G104" s="30" t="n">
        <f aca="false">IFERROR(E104/F104,0)</f>
        <v>0.0153061224489796</v>
      </c>
      <c r="H104" s="31" t="n">
        <f aca="false">IFERROR(INDEX(Insumos!$G$20:$G$168,MATCH($C104,Insumos!$A$20:$A$168,0)),0)</f>
        <v>5</v>
      </c>
      <c r="I104" s="27" t="n">
        <f aca="false">G104*H104</f>
        <v>0.076530612244898</v>
      </c>
    </row>
    <row r="105" customFormat="false" ht="15" hidden="false" customHeight="false" outlineLevel="0" collapsed="false">
      <c r="A105" s="15" t="s">
        <v>467</v>
      </c>
      <c r="B105" s="15" t="s">
        <v>468</v>
      </c>
      <c r="C105" s="16" t="s">
        <v>206</v>
      </c>
      <c r="D105" s="15" t="s">
        <v>207</v>
      </c>
      <c r="E105" s="18" t="n">
        <v>0.01</v>
      </c>
      <c r="F105" s="29" t="n">
        <f aca="false">IFERROR(INDEX(Insumos!$F$4:$F$168,MATCH($C105,Insumos!$A$4:$A$168,0)),1)</f>
        <v>0.98</v>
      </c>
      <c r="G105" s="30" t="n">
        <f aca="false">IFERROR(E105/F105,0)</f>
        <v>0.0102040816326531</v>
      </c>
      <c r="H105" s="31" t="n">
        <f aca="false">IFERROR(INDEX(Insumos!$G$20:$G$168,MATCH($C105,Insumos!$A$20:$A$168,0)),0)</f>
        <v>9.54</v>
      </c>
      <c r="I105" s="27" t="n">
        <f aca="false">G105*H105</f>
        <v>0.0973469387755102</v>
      </c>
    </row>
    <row r="106" customFormat="false" ht="15" hidden="false" customHeight="false" outlineLevel="0" collapsed="false">
      <c r="A106" s="15" t="s">
        <v>467</v>
      </c>
      <c r="B106" s="15" t="s">
        <v>468</v>
      </c>
      <c r="C106" s="16" t="s">
        <v>90</v>
      </c>
      <c r="D106" s="15" t="s">
        <v>91</v>
      </c>
      <c r="E106" s="18" t="n">
        <v>0.003</v>
      </c>
      <c r="F106" s="29" t="n">
        <f aca="false">IFERROR(INDEX(Insumos!$F$4:$F$168,MATCH($C106,Insumos!$A$4:$A$168,0)),1)</f>
        <v>0.95</v>
      </c>
      <c r="G106" s="30" t="n">
        <f aca="false">IFERROR(E106/F106,0)</f>
        <v>0.00315789473684211</v>
      </c>
      <c r="H106" s="31" t="n">
        <f aca="false">IFERROR(INDEX(Insumos!$G$20:$G$168,MATCH($C106,Insumos!$A$20:$A$168,0)),0)</f>
        <v>10</v>
      </c>
      <c r="I106" s="27" t="n">
        <f aca="false">G106*H106</f>
        <v>0.0315789473684211</v>
      </c>
    </row>
    <row r="107" customFormat="false" ht="15" hidden="false" customHeight="false" outlineLevel="0" collapsed="false">
      <c r="A107" s="15" t="s">
        <v>467</v>
      </c>
      <c r="B107" s="15" t="s">
        <v>468</v>
      </c>
      <c r="C107" s="16" t="s">
        <v>286</v>
      </c>
      <c r="D107" s="15" t="s">
        <v>287</v>
      </c>
      <c r="E107" s="18" t="n">
        <v>0.003</v>
      </c>
      <c r="F107" s="29" t="n">
        <f aca="false">IFERROR(INDEX(Insumos!$F$4:$F$168,MATCH($C107,Insumos!$A$4:$A$168,0)),1)</f>
        <v>0.98</v>
      </c>
      <c r="G107" s="30" t="n">
        <f aca="false">IFERROR(E107/F107,0)</f>
        <v>0.00306122448979592</v>
      </c>
      <c r="H107" s="31" t="n">
        <f aca="false">IFERROR(INDEX(Insumos!$G$20:$G$168,MATCH($C107,Insumos!$A$20:$A$168,0)),0)</f>
        <v>44.55</v>
      </c>
      <c r="I107" s="27" t="n">
        <f aca="false">G107*H107</f>
        <v>0.136377551020408</v>
      </c>
    </row>
    <row r="108" customFormat="false" ht="15" hidden="false" customHeight="false" outlineLevel="0" collapsed="false">
      <c r="A108" s="15" t="s">
        <v>469</v>
      </c>
      <c r="B108" s="15" t="s">
        <v>468</v>
      </c>
      <c r="C108" s="16" t="s">
        <v>86</v>
      </c>
      <c r="D108" s="15" t="s">
        <v>87</v>
      </c>
      <c r="E108" s="18" t="n">
        <v>0.3</v>
      </c>
      <c r="F108" s="29" t="n">
        <f aca="false">IFERROR(INDEX(Insumos!$F$4:$F$168,MATCH($C108,Insumos!$A$4:$A$168,0)),1)</f>
        <v>0.97</v>
      </c>
      <c r="G108" s="30" t="n">
        <f aca="false">IFERROR(E108/F108,0)</f>
        <v>0.309278350515464</v>
      </c>
      <c r="H108" s="31" t="n">
        <f aca="false">IFERROR(INDEX(Insumos!$G$20:$G$168,MATCH($C108,Insumos!$A$20:$A$168,0)),0)</f>
        <v>6</v>
      </c>
      <c r="I108" s="27" t="n">
        <f aca="false">G108*H108</f>
        <v>1.85567010309278</v>
      </c>
    </row>
    <row r="109" customFormat="false" ht="15" hidden="false" customHeight="false" outlineLevel="0" collapsed="false">
      <c r="A109" s="15" t="s">
        <v>469</v>
      </c>
      <c r="B109" s="15" t="s">
        <v>468</v>
      </c>
      <c r="C109" s="16" t="s">
        <v>163</v>
      </c>
      <c r="D109" s="15" t="s">
        <v>164</v>
      </c>
      <c r="E109" s="18" t="n">
        <v>0.6</v>
      </c>
      <c r="F109" s="29" t="n">
        <f aca="false">IFERROR(INDEX(Insumos!$F$4:$F$168,MATCH($C109,Insumos!$A$4:$A$168,0)),1)</f>
        <v>0.95</v>
      </c>
      <c r="G109" s="30" t="n">
        <f aca="false">IFERROR(E109/F109,0)</f>
        <v>0.631578947368421</v>
      </c>
      <c r="H109" s="31" t="n">
        <f aca="false">IFERROR(INDEX(Insumos!$G$20:$G$168,MATCH($C109,Insumos!$A$20:$A$168,0)),0)</f>
        <v>60</v>
      </c>
      <c r="I109" s="27" t="n">
        <f aca="false">G109*H109</f>
        <v>37.8947368421053</v>
      </c>
    </row>
    <row r="110" customFormat="false" ht="15" hidden="false" customHeight="false" outlineLevel="0" collapsed="false">
      <c r="A110" s="15" t="s">
        <v>469</v>
      </c>
      <c r="B110" s="15" t="s">
        <v>468</v>
      </c>
      <c r="C110" s="16" t="s">
        <v>169</v>
      </c>
      <c r="D110" s="15" t="s">
        <v>170</v>
      </c>
      <c r="E110" s="18" t="n">
        <v>0.15</v>
      </c>
      <c r="F110" s="29" t="n">
        <f aca="false">IFERROR(INDEX(Insumos!$F$4:$F$168,MATCH($C110,Insumos!$A$4:$A$168,0)),1)</f>
        <v>0.84</v>
      </c>
      <c r="G110" s="30" t="n">
        <f aca="false">IFERROR(E110/F110,0)</f>
        <v>0.178571428571429</v>
      </c>
      <c r="H110" s="31" t="n">
        <f aca="false">IFERROR(INDEX(Insumos!$G$20:$G$168,MATCH($C110,Insumos!$A$20:$A$168,0)),0)</f>
        <v>6</v>
      </c>
      <c r="I110" s="27" t="n">
        <f aca="false">G110*H110</f>
        <v>1.07142857142857</v>
      </c>
    </row>
    <row r="111" customFormat="false" ht="15" hidden="false" customHeight="false" outlineLevel="0" collapsed="false">
      <c r="A111" s="15" t="s">
        <v>469</v>
      </c>
      <c r="B111" s="15" t="s">
        <v>468</v>
      </c>
      <c r="C111" s="16" t="s">
        <v>94</v>
      </c>
      <c r="D111" s="15" t="s">
        <v>95</v>
      </c>
      <c r="E111" s="18" t="n">
        <v>0.005</v>
      </c>
      <c r="F111" s="29" t="n">
        <f aca="false">IFERROR(INDEX(Insumos!$F$4:$F$168,MATCH($C111,Insumos!$A$4:$A$168,0)),1)</f>
        <v>0.88</v>
      </c>
      <c r="G111" s="30" t="n">
        <f aca="false">IFERROR(E111/F111,0)</f>
        <v>0.00568181818181818</v>
      </c>
      <c r="H111" s="31" t="n">
        <f aca="false">IFERROR(INDEX(Insumos!$G$20:$G$168,MATCH($C111,Insumos!$A$20:$A$168,0)),0)</f>
        <v>24.99</v>
      </c>
      <c r="I111" s="27" t="n">
        <f aca="false">G111*H111</f>
        <v>0.141988636363636</v>
      </c>
    </row>
    <row r="112" customFormat="false" ht="15" hidden="false" customHeight="false" outlineLevel="0" collapsed="false">
      <c r="A112" s="15" t="s">
        <v>469</v>
      </c>
      <c r="B112" s="15" t="s">
        <v>468</v>
      </c>
      <c r="C112" s="16" t="s">
        <v>366</v>
      </c>
      <c r="D112" s="15" t="s">
        <v>367</v>
      </c>
      <c r="E112" s="18" t="n">
        <v>0.015</v>
      </c>
      <c r="F112" s="29" t="n">
        <f aca="false">IFERROR(INDEX(Insumos!$F$4:$F$168,MATCH($C112,Insumos!$A$4:$A$168,0)),1)</f>
        <v>0.98</v>
      </c>
      <c r="G112" s="30" t="n">
        <f aca="false">IFERROR(E112/F112,0)</f>
        <v>0.0153061224489796</v>
      </c>
      <c r="H112" s="31" t="n">
        <f aca="false">IFERROR(INDEX(Insumos!$G$20:$G$168,MATCH($C112,Insumos!$A$20:$A$168,0)),0)</f>
        <v>5</v>
      </c>
      <c r="I112" s="27" t="n">
        <f aca="false">G112*H112</f>
        <v>0.076530612244898</v>
      </c>
    </row>
    <row r="113" customFormat="false" ht="15" hidden="false" customHeight="false" outlineLevel="0" collapsed="false">
      <c r="A113" s="15" t="s">
        <v>469</v>
      </c>
      <c r="B113" s="15" t="s">
        <v>468</v>
      </c>
      <c r="C113" s="16" t="s">
        <v>206</v>
      </c>
      <c r="D113" s="15" t="s">
        <v>207</v>
      </c>
      <c r="E113" s="18" t="n">
        <v>0.01</v>
      </c>
      <c r="F113" s="29" t="n">
        <f aca="false">IFERROR(INDEX(Insumos!$F$4:$F$168,MATCH($C113,Insumos!$A$4:$A$168,0)),1)</f>
        <v>0.98</v>
      </c>
      <c r="G113" s="30" t="n">
        <f aca="false">IFERROR(E113/F113,0)</f>
        <v>0.0102040816326531</v>
      </c>
      <c r="H113" s="31" t="n">
        <f aca="false">IFERROR(INDEX(Insumos!$G$20:$G$168,MATCH($C113,Insumos!$A$20:$A$168,0)),0)</f>
        <v>9.54</v>
      </c>
      <c r="I113" s="27" t="n">
        <f aca="false">G113*H113</f>
        <v>0.0973469387755102</v>
      </c>
    </row>
    <row r="114" customFormat="false" ht="15" hidden="false" customHeight="false" outlineLevel="0" collapsed="false">
      <c r="A114" s="15" t="s">
        <v>469</v>
      </c>
      <c r="B114" s="15" t="s">
        <v>468</v>
      </c>
      <c r="C114" s="16" t="s">
        <v>90</v>
      </c>
      <c r="D114" s="15" t="s">
        <v>91</v>
      </c>
      <c r="E114" s="18" t="n">
        <v>0.003</v>
      </c>
      <c r="F114" s="29" t="n">
        <f aca="false">IFERROR(INDEX(Insumos!$F$4:$F$168,MATCH($C114,Insumos!$A$4:$A$168,0)),1)</f>
        <v>0.95</v>
      </c>
      <c r="G114" s="30" t="n">
        <f aca="false">IFERROR(E114/F114,0)</f>
        <v>0.00315789473684211</v>
      </c>
      <c r="H114" s="31" t="n">
        <f aca="false">IFERROR(INDEX(Insumos!$G$20:$G$168,MATCH($C114,Insumos!$A$20:$A$168,0)),0)</f>
        <v>10</v>
      </c>
      <c r="I114" s="27" t="n">
        <f aca="false">G114*H114</f>
        <v>0.0315789473684211</v>
      </c>
    </row>
    <row r="115" customFormat="false" ht="15" hidden="false" customHeight="false" outlineLevel="0" collapsed="false">
      <c r="A115" s="15" t="s">
        <v>469</v>
      </c>
      <c r="B115" s="15" t="s">
        <v>468</v>
      </c>
      <c r="C115" s="16" t="s">
        <v>286</v>
      </c>
      <c r="D115" s="15" t="s">
        <v>287</v>
      </c>
      <c r="E115" s="18" t="n">
        <v>0.003</v>
      </c>
      <c r="F115" s="29" t="n">
        <f aca="false">IFERROR(INDEX(Insumos!$F$4:$F$168,MATCH($C115,Insumos!$A$4:$A$168,0)),1)</f>
        <v>0.98</v>
      </c>
      <c r="G115" s="30" t="n">
        <f aca="false">IFERROR(E115/F115,0)</f>
        <v>0.00306122448979592</v>
      </c>
      <c r="H115" s="31" t="n">
        <f aca="false">IFERROR(INDEX(Insumos!$G$20:$G$168,MATCH($C115,Insumos!$A$20:$A$168,0)),0)</f>
        <v>44.55</v>
      </c>
      <c r="I115" s="27" t="n">
        <f aca="false">G115*H115</f>
        <v>0.136377551020408</v>
      </c>
    </row>
    <row r="116" customFormat="false" ht="15" hidden="false" customHeight="false" outlineLevel="0" collapsed="false">
      <c r="A116" s="15" t="s">
        <v>469</v>
      </c>
      <c r="B116" s="15" t="s">
        <v>468</v>
      </c>
      <c r="C116" s="16" t="s">
        <v>101</v>
      </c>
      <c r="D116" s="15" t="s">
        <v>102</v>
      </c>
      <c r="E116" s="18" t="n">
        <v>0.15</v>
      </c>
      <c r="F116" s="29" t="n">
        <f aca="false">IFERROR(INDEX(Insumos!$F$4:$F$168,MATCH($C116,Insumos!$A$4:$A$168,0)),1)</f>
        <v>0.98</v>
      </c>
      <c r="G116" s="30" t="n">
        <f aca="false">IFERROR(E116/F116,0)</f>
        <v>0.153061224489796</v>
      </c>
      <c r="H116" s="31" t="n">
        <f aca="false">IFERROR(INDEX(Insumos!$G$20:$G$168,MATCH($C116,Insumos!$A$20:$A$168,0)),0)</f>
        <v>23</v>
      </c>
      <c r="I116" s="27" t="n">
        <f aca="false">G116*H116</f>
        <v>3.52040816326531</v>
      </c>
    </row>
    <row r="117" customFormat="false" ht="15" hidden="false" customHeight="false" outlineLevel="0" collapsed="false">
      <c r="A117" s="15" t="s">
        <v>469</v>
      </c>
      <c r="B117" s="15" t="s">
        <v>468</v>
      </c>
      <c r="C117" s="16" t="s">
        <v>111</v>
      </c>
      <c r="D117" s="15" t="s">
        <v>112</v>
      </c>
      <c r="E117" s="18" t="n">
        <v>0.06</v>
      </c>
      <c r="F117" s="29" t="n">
        <f aca="false">IFERROR(INDEX(Insumos!$F$4:$F$168,MATCH($C117,Insumos!$A$4:$A$168,0)),1)</f>
        <v>0.98</v>
      </c>
      <c r="G117" s="30" t="n">
        <f aca="false">IFERROR(E117/F117,0)</f>
        <v>0.0612244897959184</v>
      </c>
      <c r="H117" s="31" t="n">
        <f aca="false">IFERROR(INDEX(Insumos!$G$20:$G$168,MATCH($C117,Insumos!$A$20:$A$168,0)),0)</f>
        <v>16.9</v>
      </c>
      <c r="I117" s="27" t="n">
        <f aca="false">G117*H117</f>
        <v>1.03469387755102</v>
      </c>
    </row>
    <row r="118" customFormat="false" ht="15" hidden="false" customHeight="false" outlineLevel="0" collapsed="false">
      <c r="A118" s="15" t="s">
        <v>470</v>
      </c>
      <c r="B118" s="15" t="s">
        <v>471</v>
      </c>
      <c r="C118" s="16" t="s">
        <v>56</v>
      </c>
      <c r="D118" s="15" t="s">
        <v>57</v>
      </c>
      <c r="E118" s="18" t="n">
        <v>0.04</v>
      </c>
      <c r="F118" s="29" t="n">
        <f aca="false">IFERROR(INDEX(Insumos!$F$4:$F$168,MATCH($C118,Insumos!$A$4:$A$168,0)),1)</f>
        <v>1</v>
      </c>
      <c r="G118" s="30" t="n">
        <f aca="false">IFERROR(E118/F118,0)</f>
        <v>0.04</v>
      </c>
      <c r="H118" s="31" t="n">
        <f aca="false">Insumos!$G$7</f>
        <v>34.8859116222301</v>
      </c>
      <c r="I118" s="27" t="n">
        <f aca="false">G118*H118</f>
        <v>1.39543646488921</v>
      </c>
    </row>
    <row r="119" customFormat="false" ht="15" hidden="false" customHeight="false" outlineLevel="0" collapsed="false">
      <c r="A119" s="15" t="s">
        <v>470</v>
      </c>
      <c r="B119" s="15" t="s">
        <v>471</v>
      </c>
      <c r="C119" s="16" t="s">
        <v>47</v>
      </c>
      <c r="D119" s="15" t="s">
        <v>48</v>
      </c>
      <c r="E119" s="18" t="n">
        <v>0.02</v>
      </c>
      <c r="F119" s="29" t="n">
        <f aca="false">IFERROR(INDEX(Insumos!$F$4:$F$168,MATCH($C119,Insumos!$A$4:$A$168,0)),1)</f>
        <v>1</v>
      </c>
      <c r="G119" s="30" t="n">
        <f aca="false">IFERROR(E119/F119,0)</f>
        <v>0.02</v>
      </c>
      <c r="H119" s="31" t="n">
        <f aca="false">Insumos!$G$4</f>
        <v>27.661973587891</v>
      </c>
      <c r="I119" s="27" t="n">
        <f aca="false">G119*H119</f>
        <v>0.55323947175782</v>
      </c>
    </row>
    <row r="120" customFormat="false" ht="15" hidden="false" customHeight="false" outlineLevel="0" collapsed="false">
      <c r="A120" s="15" t="s">
        <v>472</v>
      </c>
      <c r="B120" s="15" t="s">
        <v>473</v>
      </c>
      <c r="C120" s="16" t="s">
        <v>67</v>
      </c>
      <c r="D120" s="15" t="s">
        <v>68</v>
      </c>
      <c r="E120" s="18" t="n">
        <v>0.02</v>
      </c>
      <c r="F120" s="29" t="n">
        <f aca="false">IFERROR(INDEX(Insumos!$F$4:$F$168,MATCH($C120,Insumos!$A$4:$A$168,0)),1)</f>
        <v>1</v>
      </c>
      <c r="G120" s="30" t="n">
        <f aca="false">IFERROR(E120/F120,0)</f>
        <v>0.02</v>
      </c>
      <c r="H120" s="31" t="n">
        <f aca="false">Insumos!$G$12</f>
        <v>14.050144575725</v>
      </c>
      <c r="I120" s="27" t="n">
        <f aca="false">G120*H120</f>
        <v>0.281002891514501</v>
      </c>
    </row>
    <row r="121" customFormat="false" ht="15" hidden="false" customHeight="false" outlineLevel="0" collapsed="false">
      <c r="A121" s="15" t="s">
        <v>472</v>
      </c>
      <c r="B121" s="15" t="s">
        <v>473</v>
      </c>
      <c r="C121" s="16" t="s">
        <v>81</v>
      </c>
      <c r="D121" s="15" t="s">
        <v>82</v>
      </c>
      <c r="E121" s="18" t="n">
        <v>0.01</v>
      </c>
      <c r="F121" s="29" t="n">
        <f aca="false">IFERROR(INDEX(Insumos!$F$4:$F$168,MATCH($C121,Insumos!$A$4:$A$168,0)),1)</f>
        <v>1.18</v>
      </c>
      <c r="G121" s="30" t="n">
        <f aca="false">IFERROR(E121/F121,0)</f>
        <v>0.00847457627118644</v>
      </c>
      <c r="H121" s="31" t="n">
        <f aca="false">Insumos!$G$19</f>
        <v>16.7694786183453</v>
      </c>
      <c r="I121" s="27" t="n">
        <f aca="false">G121*H121</f>
        <v>0.142114225579197</v>
      </c>
    </row>
    <row r="122" customFormat="false" ht="15" hidden="false" customHeight="false" outlineLevel="0" collapsed="false">
      <c r="A122" s="15" t="s">
        <v>474</v>
      </c>
      <c r="B122" s="15" t="s">
        <v>475</v>
      </c>
      <c r="C122" s="16" t="s">
        <v>305</v>
      </c>
      <c r="D122" s="15" t="s">
        <v>306</v>
      </c>
      <c r="E122" s="18" t="n">
        <v>0.5</v>
      </c>
      <c r="F122" s="29" t="n">
        <f aca="false">IFERROR(INDEX(Insumos!$F$4:$F$168,MATCH($C122,Insumos!$A$4:$A$168,0)),1)</f>
        <v>0.98</v>
      </c>
      <c r="G122" s="30" t="n">
        <f aca="false">IFERROR(E122/F122,0)</f>
        <v>0.510204081632653</v>
      </c>
      <c r="H122" s="31" t="n">
        <f aca="false">IFERROR(INDEX(Insumos!$G$20:$G$168,MATCH($C122,Insumos!$A$20:$A$168,0)),0)</f>
        <v>14.0501</v>
      </c>
      <c r="I122" s="27" t="n">
        <f aca="false">G122*H122</f>
        <v>7.16841836734694</v>
      </c>
    </row>
    <row r="123" customFormat="false" ht="15" hidden="false" customHeight="false" outlineLevel="0" collapsed="false">
      <c r="A123" s="15" t="s">
        <v>474</v>
      </c>
      <c r="B123" s="15" t="s">
        <v>475</v>
      </c>
      <c r="C123" s="16" t="s">
        <v>361</v>
      </c>
      <c r="D123" s="15" t="s">
        <v>362</v>
      </c>
      <c r="E123" s="18" t="n">
        <v>0.25</v>
      </c>
      <c r="F123" s="29" t="n">
        <f aca="false">IFERROR(INDEX(Insumos!$F$4:$F$168,MATCH($C123,Insumos!$A$4:$A$168,0)),1)</f>
        <v>1</v>
      </c>
      <c r="G123" s="30" t="n">
        <f aca="false">IFERROR(E123/F123,0)</f>
        <v>0.25</v>
      </c>
      <c r="H123" s="31" t="n">
        <f aca="false">IFERROR(INDEX(Insumos!$G$20:$G$168,MATCH($C123,Insumos!$A$20:$A$168,0)),0)</f>
        <v>60</v>
      </c>
      <c r="I123" s="27" t="n">
        <f aca="false">G123*H123</f>
        <v>15</v>
      </c>
    </row>
    <row r="124" customFormat="false" ht="15" hidden="false" customHeight="false" outlineLevel="0" collapsed="false">
      <c r="A124" s="15" t="s">
        <v>476</v>
      </c>
      <c r="B124" s="15" t="s">
        <v>477</v>
      </c>
      <c r="C124" s="16" t="s">
        <v>305</v>
      </c>
      <c r="D124" s="15" t="s">
        <v>306</v>
      </c>
      <c r="E124" s="18" t="n">
        <v>0.5</v>
      </c>
      <c r="F124" s="29" t="n">
        <f aca="false">IFERROR(INDEX(Insumos!$F$4:$F$168,MATCH($C124,Insumos!$A$4:$A$168,0)),1)</f>
        <v>0.98</v>
      </c>
      <c r="G124" s="30" t="n">
        <f aca="false">IFERROR(E124/F124,0)</f>
        <v>0.510204081632653</v>
      </c>
      <c r="H124" s="31" t="n">
        <f aca="false">IFERROR(INDEX(Insumos!$G$20:$G$168,MATCH($C124,Insumos!$A$20:$A$168,0)),0)</f>
        <v>14.0501</v>
      </c>
      <c r="I124" s="27" t="n">
        <f aca="false">G124*H124</f>
        <v>7.16841836734694</v>
      </c>
    </row>
    <row r="125" customFormat="false" ht="15" hidden="false" customHeight="false" outlineLevel="0" collapsed="false">
      <c r="A125" s="15" t="s">
        <v>476</v>
      </c>
      <c r="B125" s="15" t="s">
        <v>477</v>
      </c>
      <c r="C125" s="16" t="s">
        <v>56</v>
      </c>
      <c r="D125" s="15" t="s">
        <v>57</v>
      </c>
      <c r="E125" s="18" t="n">
        <v>0.25</v>
      </c>
      <c r="F125" s="29" t="n">
        <f aca="false">IFERROR(INDEX(Insumos!$F$4:$F$168,MATCH($C125,Insumos!$A$4:$A$168,0)),1)</f>
        <v>1</v>
      </c>
      <c r="G125" s="30" t="n">
        <f aca="false">IFERROR(E125/F125,0)</f>
        <v>0.25</v>
      </c>
      <c r="H125" s="31" t="n">
        <f aca="false">Insumos!$G$7</f>
        <v>34.8859116222301</v>
      </c>
      <c r="I125" s="27" t="n">
        <f aca="false">G125*H125</f>
        <v>8.72147790555754</v>
      </c>
    </row>
    <row r="126" customFormat="false" ht="15" hidden="false" customHeight="false" outlineLevel="0" collapsed="false">
      <c r="A126" s="15" t="s">
        <v>478</v>
      </c>
      <c r="B126" s="15" t="s">
        <v>479</v>
      </c>
      <c r="C126" s="16" t="s">
        <v>361</v>
      </c>
      <c r="D126" s="15" t="s">
        <v>362</v>
      </c>
      <c r="E126" s="18" t="n">
        <v>1.5</v>
      </c>
      <c r="F126" s="29" t="n">
        <f aca="false">IFERROR(INDEX(Insumos!$F$4:$F$168,MATCH($C126,Insumos!$A$4:$A$168,0)),1)</f>
        <v>1</v>
      </c>
      <c r="G126" s="30" t="n">
        <f aca="false">IFERROR(E126/F126,0)</f>
        <v>1.5</v>
      </c>
      <c r="H126" s="31" t="n">
        <f aca="false">IFERROR(INDEX(Insumos!$G$20:$G$168,MATCH($C126,Insumos!$A$20:$A$168,0)),0)</f>
        <v>60</v>
      </c>
      <c r="I126" s="27" t="n">
        <f aca="false">G126*H126</f>
        <v>90</v>
      </c>
    </row>
    <row r="127" customFormat="false" ht="15" hidden="false" customHeight="false" outlineLevel="0" collapsed="false">
      <c r="A127" s="15" t="s">
        <v>478</v>
      </c>
      <c r="B127" s="15" t="s">
        <v>479</v>
      </c>
      <c r="C127" s="16" t="s">
        <v>75</v>
      </c>
      <c r="D127" s="15" t="s">
        <v>76</v>
      </c>
      <c r="E127" s="18" t="n">
        <v>1.5</v>
      </c>
      <c r="F127" s="29" t="n">
        <f aca="false">IFERROR(INDEX(Insumos!$F$4:$F$168,MATCH($C127,Insumos!$A$4:$A$168,0)),1)</f>
        <v>1</v>
      </c>
      <c r="G127" s="30" t="n">
        <f aca="false">IFERROR(E127/F127,0)</f>
        <v>1.5</v>
      </c>
      <c r="H127" s="31" t="n">
        <f aca="false">Insumos!$G$16</f>
        <v>12.142727971034</v>
      </c>
      <c r="I127" s="27" t="n">
        <f aca="false">G127*H127</f>
        <v>18.214091956551</v>
      </c>
    </row>
    <row r="128" customFormat="false" ht="15" hidden="false" customHeight="false" outlineLevel="0" collapsed="false">
      <c r="A128" s="15" t="s">
        <v>478</v>
      </c>
      <c r="B128" s="15" t="s">
        <v>479</v>
      </c>
      <c r="C128" s="16" t="s">
        <v>47</v>
      </c>
      <c r="D128" s="15" t="s">
        <v>48</v>
      </c>
      <c r="E128" s="18" t="n">
        <v>0.5</v>
      </c>
      <c r="F128" s="29" t="n">
        <f aca="false">IFERROR(INDEX(Insumos!$F$4:$F$168,MATCH($C128,Insumos!$A$4:$A$168,0)),1)</f>
        <v>1</v>
      </c>
      <c r="G128" s="30" t="n">
        <f aca="false">IFERROR(E128/F128,0)</f>
        <v>0.5</v>
      </c>
      <c r="H128" s="31" t="n">
        <f aca="false">Insumos!$G$4</f>
        <v>27.661973587891</v>
      </c>
      <c r="I128" s="27" t="n">
        <f aca="false">G128*H128</f>
        <v>13.8309867939455</v>
      </c>
    </row>
    <row r="129" customFormat="false" ht="15" hidden="false" customHeight="false" outlineLevel="0" collapsed="false">
      <c r="A129" s="15" t="s">
        <v>481</v>
      </c>
      <c r="B129" s="15" t="s">
        <v>479</v>
      </c>
      <c r="C129" s="16" t="s">
        <v>56</v>
      </c>
      <c r="D129" s="15" t="s">
        <v>57</v>
      </c>
      <c r="E129" s="18" t="n">
        <v>1.5</v>
      </c>
      <c r="F129" s="29" t="n">
        <f aca="false">IFERROR(INDEX(Insumos!$F$4:$F$168,MATCH($C129,Insumos!$A$4:$A$168,0)),1)</f>
        <v>1</v>
      </c>
      <c r="G129" s="30" t="n">
        <f aca="false">IFERROR(E129/F129,0)</f>
        <v>1.5</v>
      </c>
      <c r="H129" s="31" t="n">
        <f aca="false">Insumos!$G$7</f>
        <v>34.8859116222301</v>
      </c>
      <c r="I129" s="27" t="n">
        <f aca="false">G129*H129</f>
        <v>52.3288674333452</v>
      </c>
    </row>
    <row r="130" customFormat="false" ht="15" hidden="false" customHeight="false" outlineLevel="0" collapsed="false">
      <c r="A130" s="15" t="s">
        <v>481</v>
      </c>
      <c r="B130" s="15" t="s">
        <v>479</v>
      </c>
      <c r="C130" s="16" t="s">
        <v>75</v>
      </c>
      <c r="D130" s="15" t="s">
        <v>76</v>
      </c>
      <c r="E130" s="18" t="n">
        <v>1.5</v>
      </c>
      <c r="F130" s="29" t="n">
        <f aca="false">IFERROR(INDEX(Insumos!$F$4:$F$168,MATCH($C130,Insumos!$A$4:$A$168,0)),1)</f>
        <v>1</v>
      </c>
      <c r="G130" s="30" t="n">
        <f aca="false">IFERROR(E130/F130,0)</f>
        <v>1.5</v>
      </c>
      <c r="H130" s="31" t="n">
        <f aca="false">Insumos!$G$16</f>
        <v>12.142727971034</v>
      </c>
      <c r="I130" s="27" t="n">
        <f aca="false">G130*H130</f>
        <v>18.214091956551</v>
      </c>
    </row>
    <row r="131" customFormat="false" ht="15" hidden="false" customHeight="false" outlineLevel="0" collapsed="false">
      <c r="A131" s="15" t="s">
        <v>481</v>
      </c>
      <c r="B131" s="15" t="s">
        <v>479</v>
      </c>
      <c r="C131" s="16" t="s">
        <v>47</v>
      </c>
      <c r="D131" s="15" t="s">
        <v>48</v>
      </c>
      <c r="E131" s="18" t="n">
        <v>0.5</v>
      </c>
      <c r="F131" s="29" t="n">
        <f aca="false">IFERROR(INDEX(Insumos!$F$4:$F$168,MATCH($C131,Insumos!$A$4:$A$168,0)),1)</f>
        <v>1</v>
      </c>
      <c r="G131" s="30" t="n">
        <f aca="false">IFERROR(E131/F131,0)</f>
        <v>0.5</v>
      </c>
      <c r="H131" s="31" t="n">
        <f aca="false">Insumos!$G$4</f>
        <v>27.661973587891</v>
      </c>
      <c r="I131" s="27" t="n">
        <f aca="false">G131*H131</f>
        <v>13.8309867939455</v>
      </c>
    </row>
    <row r="132" customFormat="false" ht="15" hidden="false" customHeight="false" outlineLevel="0" collapsed="false">
      <c r="A132" s="15" t="s">
        <v>482</v>
      </c>
      <c r="B132" s="15" t="s">
        <v>483</v>
      </c>
      <c r="C132" s="16" t="s">
        <v>237</v>
      </c>
      <c r="D132" s="15" t="s">
        <v>238</v>
      </c>
      <c r="E132" s="18" t="n">
        <v>0.07</v>
      </c>
      <c r="F132" s="29" t="n">
        <f aca="false">IFERROR(INDEX(Insumos!$F$4:$F$168,MATCH($C132,Insumos!$A$4:$A$168,0)),1)</f>
        <v>0.98</v>
      </c>
      <c r="G132" s="30" t="n">
        <f aca="false">IFERROR(E132/F132,0)</f>
        <v>0.0714285714285714</v>
      </c>
      <c r="H132" s="31" t="n">
        <f aca="false">IFERROR(INDEX(Insumos!$G$20:$G$168,MATCH($C132,Insumos!$A$20:$A$168,0)),0)</f>
        <v>15</v>
      </c>
      <c r="I132" s="27" t="n">
        <f aca="false">G132*H132</f>
        <v>1.07142857142857</v>
      </c>
    </row>
    <row r="133" customFormat="false" ht="15" hidden="false" customHeight="false" outlineLevel="0" collapsed="false">
      <c r="A133" s="15" t="s">
        <v>482</v>
      </c>
      <c r="B133" s="15" t="s">
        <v>483</v>
      </c>
      <c r="C133" s="16" t="s">
        <v>210</v>
      </c>
      <c r="D133" s="15" t="s">
        <v>211</v>
      </c>
      <c r="E133" s="18" t="n">
        <v>0.06</v>
      </c>
      <c r="F133" s="29" t="n">
        <f aca="false">IFERROR(INDEX(Insumos!$F$4:$F$168,MATCH($C133,Insumos!$A$4:$A$168,0)),1)</f>
        <v>0.98</v>
      </c>
      <c r="G133" s="30" t="n">
        <f aca="false">IFERROR(E133/F133,0)</f>
        <v>0.0612244897959184</v>
      </c>
      <c r="H133" s="31" t="n">
        <f aca="false">IFERROR(INDEX(Insumos!$G$20:$G$168,MATCH($C133,Insumos!$A$20:$A$168,0)),0)</f>
        <v>7.49</v>
      </c>
      <c r="I133" s="27" t="n">
        <f aca="false">G133*H133</f>
        <v>0.458571428571429</v>
      </c>
    </row>
    <row r="134" customFormat="false" ht="15" hidden="false" customHeight="false" outlineLevel="0" collapsed="false">
      <c r="A134" s="15" t="s">
        <v>482</v>
      </c>
      <c r="B134" s="15" t="s">
        <v>483</v>
      </c>
      <c r="C134" s="16" t="s">
        <v>344</v>
      </c>
      <c r="D134" s="15" t="s">
        <v>345</v>
      </c>
      <c r="E134" s="18" t="n">
        <v>0.035</v>
      </c>
      <c r="F134" s="29" t="n">
        <f aca="false">IFERROR(INDEX(Insumos!$F$4:$F$168,MATCH($C134,Insumos!$A$4:$A$168,0)),1)</f>
        <v>0.98</v>
      </c>
      <c r="G134" s="30" t="n">
        <f aca="false">IFERROR(E134/F134,0)</f>
        <v>0.0357142857142857</v>
      </c>
      <c r="H134" s="31" t="n">
        <f aca="false">IFERROR(INDEX(Insumos!$G$20:$G$168,MATCH($C134,Insumos!$A$20:$A$168,0)),0)</f>
        <v>12</v>
      </c>
      <c r="I134" s="27" t="n">
        <f aca="false">G134*H134</f>
        <v>0.428571428571429</v>
      </c>
    </row>
    <row r="135" customFormat="false" ht="15" hidden="false" customHeight="false" outlineLevel="0" collapsed="false">
      <c r="A135" s="15" t="s">
        <v>482</v>
      </c>
      <c r="B135" s="15" t="s">
        <v>483</v>
      </c>
      <c r="C135" s="16" t="s">
        <v>216</v>
      </c>
      <c r="D135" s="15" t="s">
        <v>217</v>
      </c>
      <c r="E135" s="18" t="n">
        <v>0.025</v>
      </c>
      <c r="F135" s="29" t="n">
        <f aca="false">IFERROR(INDEX(Insumos!$F$4:$F$168,MATCH($C135,Insumos!$A$4:$A$168,0)),1)</f>
        <v>0.98</v>
      </c>
      <c r="G135" s="30" t="n">
        <f aca="false">IFERROR(E135/F135,0)</f>
        <v>0.0255102040816327</v>
      </c>
      <c r="H135" s="31" t="n">
        <f aca="false">IFERROR(INDEX(Insumos!$G$20:$G$168,MATCH($C135,Insumos!$A$20:$A$168,0)),0)</f>
        <v>36.8</v>
      </c>
      <c r="I135" s="27" t="n">
        <f aca="false">G135*H135</f>
        <v>0.938775510204082</v>
      </c>
    </row>
    <row r="136" customFormat="false" ht="15" hidden="false" customHeight="false" outlineLevel="0" collapsed="false">
      <c r="A136" s="15" t="s">
        <v>482</v>
      </c>
      <c r="B136" s="15" t="s">
        <v>483</v>
      </c>
      <c r="C136" s="16" t="s">
        <v>256</v>
      </c>
      <c r="D136" s="15" t="s">
        <v>257</v>
      </c>
      <c r="E136" s="18" t="n">
        <v>0.002</v>
      </c>
      <c r="F136" s="29" t="n">
        <f aca="false">IFERROR(INDEX(Insumos!$F$4:$F$168,MATCH($C136,Insumos!$A$4:$A$168,0)),1)</f>
        <v>0.98</v>
      </c>
      <c r="G136" s="30" t="n">
        <f aca="false">IFERROR(E136/F136,0)</f>
        <v>0.00204081632653061</v>
      </c>
      <c r="H136" s="31" t="n">
        <f aca="false">IFERROR(INDEX(Insumos!$G$20:$G$168,MATCH($C136,Insumos!$A$20:$A$168,0)),0)</f>
        <v>36.86</v>
      </c>
      <c r="I136" s="27" t="n">
        <f aca="false">G136*H136</f>
        <v>0.0752244897959184</v>
      </c>
    </row>
    <row r="137" customFormat="false" ht="15" hidden="false" customHeight="false" outlineLevel="0" collapsed="false">
      <c r="A137" s="15" t="s">
        <v>482</v>
      </c>
      <c r="B137" s="15" t="s">
        <v>483</v>
      </c>
      <c r="C137" s="16" t="s">
        <v>349</v>
      </c>
      <c r="D137" s="15" t="s">
        <v>350</v>
      </c>
      <c r="E137" s="18" t="n">
        <v>0.006</v>
      </c>
      <c r="F137" s="29" t="n">
        <f aca="false">IFERROR(INDEX(Insumos!$F$4:$F$168,MATCH($C137,Insumos!$A$4:$A$168,0)),1)</f>
        <v>0.98</v>
      </c>
      <c r="G137" s="30" t="n">
        <f aca="false">IFERROR(E137/F137,0)</f>
        <v>0.00612244897959184</v>
      </c>
      <c r="H137" s="31" t="n">
        <f aca="false">IFERROR(INDEX(Insumos!$G$20:$G$168,MATCH($C137,Insumos!$A$20:$A$168,0)),0)</f>
        <v>54.4</v>
      </c>
      <c r="I137" s="27" t="n">
        <f aca="false">G137*H137</f>
        <v>0.333061224489796</v>
      </c>
    </row>
    <row r="138" customFormat="false" ht="15" hidden="false" customHeight="false" outlineLevel="0" collapsed="false">
      <c r="A138" s="15" t="s">
        <v>482</v>
      </c>
      <c r="B138" s="15" t="s">
        <v>483</v>
      </c>
      <c r="C138" s="16" t="s">
        <v>225</v>
      </c>
      <c r="D138" s="15" t="s">
        <v>226</v>
      </c>
      <c r="E138" s="18" t="n">
        <v>0.003</v>
      </c>
      <c r="F138" s="29" t="n">
        <f aca="false">IFERROR(INDEX(Insumos!$F$4:$F$168,MATCH($C138,Insumos!$A$4:$A$168,0)),1)</f>
        <v>0.98</v>
      </c>
      <c r="G138" s="30" t="n">
        <f aca="false">IFERROR(E138/F138,0)</f>
        <v>0.00306122448979592</v>
      </c>
      <c r="H138" s="31" t="n">
        <f aca="false">IFERROR(INDEX(Insumos!$G$20:$G$168,MATCH($C138,Insumos!$A$20:$A$168,0)),0)</f>
        <v>14.9</v>
      </c>
      <c r="I138" s="27" t="n">
        <f aca="false">G138*H138</f>
        <v>0.0456122448979592</v>
      </c>
    </row>
    <row r="139" customFormat="false" ht="15" hidden="false" customHeight="false" outlineLevel="0" collapsed="false">
      <c r="A139" s="15" t="s">
        <v>482</v>
      </c>
      <c r="B139" s="15" t="s">
        <v>483</v>
      </c>
      <c r="C139" s="16" t="s">
        <v>403</v>
      </c>
      <c r="D139" s="15" t="s">
        <v>404</v>
      </c>
      <c r="E139" s="18" t="n">
        <v>0.2</v>
      </c>
      <c r="F139" s="29" t="n">
        <f aca="false">IFERROR(INDEX(Insumos!$F$4:$F$168,MATCH($C139,Insumos!$A$4:$A$168,0)),1)</f>
        <v>0.98</v>
      </c>
      <c r="G139" s="30" t="n">
        <f aca="false">IFERROR(E139/F139,0)</f>
        <v>0.204081632653061</v>
      </c>
      <c r="H139" s="31" t="n">
        <f aca="false">IFERROR(INDEX(Insumos!$G$20:$G$168,MATCH($C139,Insumos!$A$20:$A$168,0)),0)</f>
        <v>1.5</v>
      </c>
      <c r="I139" s="27" t="n">
        <f aca="false">G139*H139</f>
        <v>0.306122448979592</v>
      </c>
    </row>
    <row r="140" customFormat="false" ht="15" hidden="false" customHeight="false" outlineLevel="0" collapsed="false">
      <c r="A140" s="15" t="s">
        <v>482</v>
      </c>
      <c r="B140" s="15" t="s">
        <v>483</v>
      </c>
      <c r="C140" s="16" t="s">
        <v>118</v>
      </c>
      <c r="D140" s="15" t="s">
        <v>119</v>
      </c>
      <c r="E140" s="18" t="n">
        <v>0.04</v>
      </c>
      <c r="F140" s="29" t="n">
        <f aca="false">IFERROR(INDEX(Insumos!$F$4:$F$168,MATCH($C140,Insumos!$A$4:$A$168,0)),1)</f>
        <v>0.95</v>
      </c>
      <c r="G140" s="30" t="n">
        <f aca="false">IFERROR(E140/F140,0)</f>
        <v>0.0421052631578947</v>
      </c>
      <c r="H140" s="31" t="n">
        <f aca="false">IFERROR(INDEX(Insumos!$G$20:$G$168,MATCH($C140,Insumos!$A$20:$A$168,0)),0)</f>
        <v>20</v>
      </c>
      <c r="I140" s="27" t="n">
        <f aca="false">G140*H140</f>
        <v>0.842105263157895</v>
      </c>
    </row>
    <row r="141" customFormat="false" ht="15" hidden="false" customHeight="false" outlineLevel="0" collapsed="false">
      <c r="A141" s="15" t="s">
        <v>482</v>
      </c>
      <c r="B141" s="15" t="s">
        <v>483</v>
      </c>
      <c r="C141" s="16" t="s">
        <v>121</v>
      </c>
      <c r="D141" s="15" t="s">
        <v>122</v>
      </c>
      <c r="E141" s="18" t="n">
        <v>0.02</v>
      </c>
      <c r="F141" s="29" t="n">
        <f aca="false">IFERROR(INDEX(Insumos!$F$4:$F$168,MATCH($C141,Insumos!$A$4:$A$168,0)),1)</f>
        <v>0.98</v>
      </c>
      <c r="G141" s="30" t="n">
        <f aca="false">IFERROR(E141/F141,0)</f>
        <v>0.0204081632653061</v>
      </c>
      <c r="H141" s="31" t="n">
        <f aca="false">IFERROR(INDEX(Insumos!$G$20:$G$168,MATCH($C141,Insumos!$A$20:$A$168,0)),0)</f>
        <v>6</v>
      </c>
      <c r="I141" s="27" t="n">
        <f aca="false">G141*H141</f>
        <v>0.122448979591837</v>
      </c>
    </row>
    <row r="142" customFormat="false" ht="15" hidden="false" customHeight="false" outlineLevel="0" collapsed="false">
      <c r="A142" s="15" t="s">
        <v>482</v>
      </c>
      <c r="B142" s="15" t="s">
        <v>483</v>
      </c>
      <c r="C142" s="16" t="s">
        <v>366</v>
      </c>
      <c r="D142" s="15" t="s">
        <v>367</v>
      </c>
      <c r="E142" s="18" t="n">
        <v>0.002</v>
      </c>
      <c r="F142" s="29" t="n">
        <f aca="false">IFERROR(INDEX(Insumos!$F$4:$F$168,MATCH($C142,Insumos!$A$4:$A$168,0)),1)</f>
        <v>0.98</v>
      </c>
      <c r="G142" s="30" t="n">
        <f aca="false">IFERROR(E142/F142,0)</f>
        <v>0.00204081632653061</v>
      </c>
      <c r="H142" s="31" t="n">
        <f aca="false">IFERROR(INDEX(Insumos!$G$20:$G$168,MATCH($C142,Insumos!$A$20:$A$168,0)),0)</f>
        <v>5</v>
      </c>
      <c r="I142" s="27" t="n">
        <f aca="false">G142*H142</f>
        <v>0.0102040816326531</v>
      </c>
    </row>
    <row r="143" customFormat="false" ht="15" hidden="false" customHeight="false" outlineLevel="0" collapsed="false">
      <c r="A143" s="15" t="s">
        <v>482</v>
      </c>
      <c r="B143" s="15" t="s">
        <v>483</v>
      </c>
      <c r="C143" s="16" t="s">
        <v>90</v>
      </c>
      <c r="D143" s="15" t="s">
        <v>91</v>
      </c>
      <c r="E143" s="18" t="n">
        <v>0.002</v>
      </c>
      <c r="F143" s="29" t="n">
        <f aca="false">IFERROR(INDEX(Insumos!$F$4:$F$168,MATCH($C143,Insumos!$A$4:$A$168,0)),1)</f>
        <v>0.95</v>
      </c>
      <c r="G143" s="30" t="n">
        <f aca="false">IFERROR(E143/F143,0)</f>
        <v>0.00210526315789474</v>
      </c>
      <c r="H143" s="31" t="n">
        <f aca="false">IFERROR(INDEX(Insumos!$G$20:$G$168,MATCH($C143,Insumos!$A$20:$A$168,0)),0)</f>
        <v>10</v>
      </c>
      <c r="I143" s="27" t="n">
        <f aca="false">G143*H143</f>
        <v>0.0210526315789474</v>
      </c>
    </row>
    <row r="144" customFormat="false" ht="15" hidden="false" customHeight="false" outlineLevel="0" collapsed="false">
      <c r="A144" s="15" t="s">
        <v>482</v>
      </c>
      <c r="B144" s="15" t="s">
        <v>483</v>
      </c>
      <c r="C144" s="16" t="s">
        <v>388</v>
      </c>
      <c r="D144" s="15" t="s">
        <v>389</v>
      </c>
      <c r="E144" s="18" t="n">
        <v>0.1</v>
      </c>
      <c r="F144" s="29" t="n">
        <f aca="false">IFERROR(INDEX(Insumos!$F$4:$F$168,MATCH($C144,Insumos!$A$4:$A$168,0)),1)</f>
        <v>0.95</v>
      </c>
      <c r="G144" s="30" t="n">
        <f aca="false">IFERROR(E144/F144,0)</f>
        <v>0.105263157894737</v>
      </c>
      <c r="H144" s="31" t="n">
        <f aca="false">IFERROR(INDEX(Insumos!$G$20:$G$168,MATCH($C144,Insumos!$A$20:$A$168,0)),0)</f>
        <v>20</v>
      </c>
      <c r="I144" s="27" t="n">
        <f aca="false">G144*H144</f>
        <v>2.10526315789474</v>
      </c>
    </row>
    <row r="145" customFormat="false" ht="15" hidden="false" customHeight="false" outlineLevel="0" collapsed="false">
      <c r="A145" s="15" t="s">
        <v>54</v>
      </c>
      <c r="B145" s="15" t="s">
        <v>55</v>
      </c>
      <c r="C145" s="16" t="s">
        <v>232</v>
      </c>
      <c r="D145" s="15" t="s">
        <v>233</v>
      </c>
      <c r="E145" s="18" t="n">
        <v>2</v>
      </c>
      <c r="F145" s="29" t="n">
        <f aca="false">IFERROR(INDEX(Insumos!$F$4:$F$168,MATCH($C145,Insumos!$A$4:$A$168,0)),1)</f>
        <v>0.98</v>
      </c>
      <c r="G145" s="30" t="n">
        <f aca="false">IFERROR(E145/F145,0)</f>
        <v>2.04081632653061</v>
      </c>
      <c r="H145" s="31" t="n">
        <f aca="false">IFERROR(INDEX(Insumos!$G$20:$G$168,MATCH($C145,Insumos!$A$20:$A$168,0)),0)</f>
        <v>16</v>
      </c>
      <c r="I145" s="27" t="n">
        <f aca="false">G145*H145</f>
        <v>32.6530612244898</v>
      </c>
    </row>
    <row r="146" customFormat="false" ht="15" hidden="false" customHeight="false" outlineLevel="0" collapsed="false">
      <c r="A146" s="15" t="s">
        <v>54</v>
      </c>
      <c r="B146" s="15" t="s">
        <v>55</v>
      </c>
      <c r="C146" s="16" t="s">
        <v>403</v>
      </c>
      <c r="D146" s="15" t="s">
        <v>404</v>
      </c>
      <c r="E146" s="18" t="n">
        <v>2.5</v>
      </c>
      <c r="F146" s="29" t="n">
        <f aca="false">IFERROR(INDEX(Insumos!$F$4:$F$168,MATCH($C146,Insumos!$A$4:$A$168,0)),1)</f>
        <v>0.98</v>
      </c>
      <c r="G146" s="30" t="n">
        <f aca="false">IFERROR(E146/F146,0)</f>
        <v>2.55102040816327</v>
      </c>
      <c r="H146" s="31" t="n">
        <f aca="false">IFERROR(INDEX(Insumos!$G$20:$G$168,MATCH($C146,Insumos!$A$20:$A$168,0)),0)</f>
        <v>1.5</v>
      </c>
      <c r="I146" s="27" t="n">
        <f aca="false">G146*H146</f>
        <v>3.8265306122449</v>
      </c>
    </row>
    <row r="147" customFormat="false" ht="15" hidden="false" customHeight="false" outlineLevel="0" collapsed="false">
      <c r="A147" s="15" t="s">
        <v>54</v>
      </c>
      <c r="B147" s="15" t="s">
        <v>55</v>
      </c>
      <c r="C147" s="16" t="s">
        <v>286</v>
      </c>
      <c r="D147" s="15" t="s">
        <v>287</v>
      </c>
      <c r="E147" s="18" t="n">
        <v>0.01</v>
      </c>
      <c r="F147" s="29" t="n">
        <f aca="false">IFERROR(INDEX(Insumos!$F$4:$F$168,MATCH($C147,Insumos!$A$4:$A$168,0)),1)</f>
        <v>0.98</v>
      </c>
      <c r="G147" s="30" t="n">
        <f aca="false">IFERROR(E147/F147,0)</f>
        <v>0.0102040816326531</v>
      </c>
      <c r="H147" s="31" t="n">
        <f aca="false">IFERROR(INDEX(Insumos!$G$20:$G$168,MATCH($C147,Insumos!$A$20:$A$168,0)),0)</f>
        <v>44.55</v>
      </c>
      <c r="I147" s="27" t="n">
        <f aca="false">G147*H147</f>
        <v>0.454591836734694</v>
      </c>
    </row>
    <row r="148" customFormat="false" ht="15" hidden="false" customHeight="false" outlineLevel="0" collapsed="false">
      <c r="A148" s="15" t="s">
        <v>54</v>
      </c>
      <c r="B148" s="15" t="s">
        <v>55</v>
      </c>
      <c r="C148" s="16" t="s">
        <v>90</v>
      </c>
      <c r="D148" s="15" t="s">
        <v>91</v>
      </c>
      <c r="E148" s="18" t="n">
        <v>0.01</v>
      </c>
      <c r="F148" s="29" t="n">
        <f aca="false">IFERROR(INDEX(Insumos!$F$4:$F$168,MATCH($C148,Insumos!$A$4:$A$168,0)),1)</f>
        <v>0.95</v>
      </c>
      <c r="G148" s="30" t="n">
        <f aca="false">IFERROR(E148/F148,0)</f>
        <v>0.0105263157894737</v>
      </c>
      <c r="H148" s="31" t="n">
        <f aca="false">IFERROR(INDEX(Insumos!$G$20:$G$168,MATCH($C148,Insumos!$A$20:$A$168,0)),0)</f>
        <v>10</v>
      </c>
      <c r="I148" s="27" t="n">
        <f aca="false">G148*H148</f>
        <v>0.105263157894737</v>
      </c>
    </row>
    <row r="149" customFormat="false" ht="15" hidden="false" customHeight="false" outlineLevel="0" collapsed="false">
      <c r="A149" s="15" t="s">
        <v>54</v>
      </c>
      <c r="B149" s="15" t="s">
        <v>55</v>
      </c>
      <c r="C149" s="16" t="s">
        <v>171</v>
      </c>
      <c r="D149" s="15" t="s">
        <v>172</v>
      </c>
      <c r="E149" s="18" t="n">
        <v>0.1</v>
      </c>
      <c r="F149" s="29" t="n">
        <f aca="false">IFERROR(INDEX(Insumos!$F$4:$F$168,MATCH($C149,Insumos!$A$4:$A$168,0)),1)</f>
        <v>0.98</v>
      </c>
      <c r="G149" s="30" t="n">
        <f aca="false">IFERROR(E149/F149,0)</f>
        <v>0.102040816326531</v>
      </c>
      <c r="H149" s="31" t="n">
        <f aca="false">IFERROR(INDEX(Insumos!$G$20:$G$168,MATCH($C149,Insumos!$A$20:$A$168,0)),0)</f>
        <v>7.9</v>
      </c>
      <c r="I149" s="27" t="n">
        <f aca="false">G149*H149</f>
        <v>0.806122448979592</v>
      </c>
    </row>
    <row r="150" customFormat="false" ht="15" hidden="false" customHeight="false" outlineLevel="0" collapsed="false">
      <c r="A150" s="15" t="s">
        <v>54</v>
      </c>
      <c r="B150" s="15" t="s">
        <v>55</v>
      </c>
      <c r="C150" s="16" t="s">
        <v>169</v>
      </c>
      <c r="D150" s="15" t="s">
        <v>170</v>
      </c>
      <c r="E150" s="18" t="n">
        <v>0.15</v>
      </c>
      <c r="F150" s="29" t="n">
        <f aca="false">IFERROR(INDEX(Insumos!$F$4:$F$168,MATCH($C150,Insumos!$A$4:$A$168,0)),1)</f>
        <v>0.84</v>
      </c>
      <c r="G150" s="30" t="n">
        <f aca="false">IFERROR(E150/F150,0)</f>
        <v>0.178571428571429</v>
      </c>
      <c r="H150" s="31" t="n">
        <f aca="false">IFERROR(INDEX(Insumos!$G$20:$G$168,MATCH($C150,Insumos!$A$20:$A$168,0)),0)</f>
        <v>6</v>
      </c>
      <c r="I150" s="27" t="n">
        <f aca="false">G150*H150</f>
        <v>1.07142857142857</v>
      </c>
    </row>
    <row r="151" customFormat="false" ht="15" hidden="false" customHeight="false" outlineLevel="0" collapsed="false">
      <c r="A151" s="15" t="s">
        <v>54</v>
      </c>
      <c r="B151" s="15" t="s">
        <v>55</v>
      </c>
      <c r="C151" s="16" t="s">
        <v>372</v>
      </c>
      <c r="D151" s="15" t="s">
        <v>373</v>
      </c>
      <c r="E151" s="18" t="n">
        <v>0.05</v>
      </c>
      <c r="F151" s="29" t="n">
        <f aca="false">IFERROR(INDEX(Insumos!$F$4:$F$168,MATCH($C151,Insumos!$A$4:$A$168,0)),1)</f>
        <v>0.9</v>
      </c>
      <c r="G151" s="30" t="n">
        <f aca="false">IFERROR(E151/F151,0)</f>
        <v>0.0555555555555556</v>
      </c>
      <c r="H151" s="31" t="n">
        <f aca="false">IFERROR(INDEX(Insumos!$G$20:$G$168,MATCH($C151,Insumos!$A$20:$A$168,0)),0)</f>
        <v>24</v>
      </c>
      <c r="I151" s="27" t="n">
        <f aca="false">G151*H151</f>
        <v>1.33333333333333</v>
      </c>
    </row>
    <row r="152" customFormat="false" ht="15" hidden="false" customHeight="false" outlineLevel="0" collapsed="false">
      <c r="A152" s="15" t="s">
        <v>54</v>
      </c>
      <c r="B152" s="15" t="s">
        <v>55</v>
      </c>
      <c r="C152" s="16" t="s">
        <v>98</v>
      </c>
      <c r="D152" s="15" t="s">
        <v>99</v>
      </c>
      <c r="E152" s="18" t="n">
        <v>0.1</v>
      </c>
      <c r="F152" s="29" t="n">
        <f aca="false">IFERROR(INDEX(Insumos!$F$4:$F$168,MATCH($C152,Insumos!$A$4:$A$168,0)),1)</f>
        <v>0.9</v>
      </c>
      <c r="G152" s="30" t="n">
        <f aca="false">IFERROR(E152/F152,0)</f>
        <v>0.111111111111111</v>
      </c>
      <c r="H152" s="31" t="n">
        <f aca="false">IFERROR(INDEX(Insumos!$G$20:$G$168,MATCH($C152,Insumos!$A$20:$A$168,0)),0)</f>
        <v>50</v>
      </c>
      <c r="I152" s="27" t="n">
        <f aca="false">G152*H152</f>
        <v>5.55555555555556</v>
      </c>
    </row>
    <row r="153" customFormat="false" ht="15" hidden="false" customHeight="false" outlineLevel="0" collapsed="false">
      <c r="A153" s="15" t="s">
        <v>484</v>
      </c>
      <c r="B153" s="15" t="s">
        <v>57</v>
      </c>
      <c r="C153" s="16" t="s">
        <v>54</v>
      </c>
      <c r="D153" s="15" t="s">
        <v>55</v>
      </c>
      <c r="E153" s="18" t="n">
        <v>1.069</v>
      </c>
      <c r="F153" s="29" t="n">
        <f aca="false">IFERROR(INDEX(Insumos!$F$4:$F$168,MATCH($C153,Insumos!$A$4:$A$168,0)),1)</f>
        <v>0.5</v>
      </c>
      <c r="G153" s="30" t="n">
        <f aca="false">IFERROR(E153/F153,0)</f>
        <v>2.138</v>
      </c>
      <c r="H153" s="31" t="n">
        <f aca="false">Insumos!$G$6</f>
        <v>22.9029433703306</v>
      </c>
      <c r="I153" s="27" t="n">
        <f aca="false">G153*H153</f>
        <v>48.9664929257668</v>
      </c>
    </row>
    <row r="154" customFormat="false" ht="15" hidden="false" customHeight="false" outlineLevel="0" collapsed="false">
      <c r="A154" s="15" t="s">
        <v>484</v>
      </c>
      <c r="B154" s="15" t="s">
        <v>57</v>
      </c>
      <c r="C154" s="16" t="s">
        <v>321</v>
      </c>
      <c r="D154" s="15" t="s">
        <v>322</v>
      </c>
      <c r="E154" s="18" t="n">
        <v>0.5</v>
      </c>
      <c r="F154" s="29" t="n">
        <f aca="false">IFERROR(INDEX(Insumos!$F$4:$F$168,MATCH($C154,Insumos!$A$4:$A$168,0)),1)</f>
        <v>0.98</v>
      </c>
      <c r="G154" s="30" t="n">
        <f aca="false">IFERROR(E154/F154,0)</f>
        <v>0.510204081632653</v>
      </c>
      <c r="H154" s="31" t="n">
        <f aca="false">IFERROR(INDEX(Insumos!$G$20:$G$168,MATCH($C154,Insumos!$A$20:$A$168,0)),0)</f>
        <v>11.3219</v>
      </c>
      <c r="I154" s="27" t="n">
        <f aca="false">G154*H154</f>
        <v>5.77647959183673</v>
      </c>
    </row>
    <row r="155" customFormat="false" ht="15" hidden="false" customHeight="false" outlineLevel="0" collapsed="false">
      <c r="A155" s="15" t="s">
        <v>485</v>
      </c>
      <c r="B155" s="15" t="s">
        <v>486</v>
      </c>
      <c r="C155" s="16" t="s">
        <v>232</v>
      </c>
      <c r="D155" s="15" t="s">
        <v>233</v>
      </c>
      <c r="E155" s="18" t="n">
        <v>1.2</v>
      </c>
      <c r="F155" s="29" t="n">
        <f aca="false">IFERROR(INDEX(Insumos!$F$4:$F$168,MATCH($C155,Insumos!$A$4:$A$168,0)),1)</f>
        <v>0.98</v>
      </c>
      <c r="G155" s="30" t="n">
        <f aca="false">IFERROR(E155/F155,0)</f>
        <v>1.22448979591837</v>
      </c>
      <c r="H155" s="31" t="n">
        <f aca="false">IFERROR(INDEX(Insumos!$G$20:$G$168,MATCH($C155,Insumos!$A$20:$A$168,0)),0)</f>
        <v>16</v>
      </c>
      <c r="I155" s="27" t="n">
        <f aca="false">G155*H155</f>
        <v>19.5918367346939</v>
      </c>
    </row>
    <row r="156" customFormat="false" ht="15" hidden="false" customHeight="false" outlineLevel="0" collapsed="false">
      <c r="A156" s="15" t="s">
        <v>485</v>
      </c>
      <c r="B156" s="15" t="s">
        <v>486</v>
      </c>
      <c r="C156" s="16" t="s">
        <v>169</v>
      </c>
      <c r="D156" s="15" t="s">
        <v>170</v>
      </c>
      <c r="E156" s="18" t="n">
        <v>0.1</v>
      </c>
      <c r="F156" s="29" t="n">
        <f aca="false">IFERROR(INDEX(Insumos!$F$4:$F$168,MATCH($C156,Insumos!$A$4:$A$168,0)),1)</f>
        <v>0.84</v>
      </c>
      <c r="G156" s="30" t="n">
        <f aca="false">IFERROR(E156/F156,0)</f>
        <v>0.119047619047619</v>
      </c>
      <c r="H156" s="31" t="n">
        <f aca="false">IFERROR(INDEX(Insumos!$G$20:$G$168,MATCH($C156,Insumos!$A$20:$A$168,0)),0)</f>
        <v>6</v>
      </c>
      <c r="I156" s="27" t="n">
        <f aca="false">G156*H156</f>
        <v>0.714285714285714</v>
      </c>
    </row>
    <row r="157" customFormat="false" ht="15" hidden="false" customHeight="false" outlineLevel="0" collapsed="false">
      <c r="A157" s="15" t="s">
        <v>485</v>
      </c>
      <c r="B157" s="15" t="s">
        <v>486</v>
      </c>
      <c r="C157" s="16" t="s">
        <v>185</v>
      </c>
      <c r="D157" s="15" t="s">
        <v>186</v>
      </c>
      <c r="E157" s="18" t="n">
        <v>0.65</v>
      </c>
      <c r="F157" s="29" t="n">
        <f aca="false">IFERROR(INDEX(Insumos!$F$4:$F$168,MATCH($C157,Insumos!$A$4:$A$168,0)),1)</f>
        <v>0.95</v>
      </c>
      <c r="G157" s="30" t="n">
        <f aca="false">IFERROR(E157/F157,0)</f>
        <v>0.68421052631579</v>
      </c>
      <c r="H157" s="31" t="n">
        <f aca="false">IFERROR(INDEX(Insumos!$G$20:$G$168,MATCH($C157,Insumos!$A$20:$A$168,0)),0)</f>
        <v>7</v>
      </c>
      <c r="I157" s="27" t="n">
        <f aca="false">G157*H157</f>
        <v>4.78947368421053</v>
      </c>
    </row>
    <row r="158" customFormat="false" ht="15" hidden="false" customHeight="false" outlineLevel="0" collapsed="false">
      <c r="A158" s="15" t="s">
        <v>485</v>
      </c>
      <c r="B158" s="15" t="s">
        <v>486</v>
      </c>
      <c r="C158" s="16" t="s">
        <v>47</v>
      </c>
      <c r="D158" s="15" t="s">
        <v>48</v>
      </c>
      <c r="E158" s="18" t="n">
        <v>0.65</v>
      </c>
      <c r="F158" s="29" t="n">
        <f aca="false">IFERROR(INDEX(Insumos!$F$4:$F$168,MATCH($C158,Insumos!$A$4:$A$168,0)),1)</f>
        <v>1</v>
      </c>
      <c r="G158" s="30" t="n">
        <f aca="false">IFERROR(E158/F158,0)</f>
        <v>0.65</v>
      </c>
      <c r="H158" s="31" t="n">
        <f aca="false">Insumos!$G$4</f>
        <v>27.661973587891</v>
      </c>
      <c r="I158" s="27" t="n">
        <f aca="false">G158*H158</f>
        <v>17.9802828321292</v>
      </c>
    </row>
    <row r="159" customFormat="false" ht="15" hidden="false" customHeight="false" outlineLevel="0" collapsed="false">
      <c r="A159" s="15" t="s">
        <v>485</v>
      </c>
      <c r="B159" s="15" t="s">
        <v>486</v>
      </c>
      <c r="C159" s="16" t="s">
        <v>94</v>
      </c>
      <c r="D159" s="15" t="s">
        <v>95</v>
      </c>
      <c r="E159" s="18" t="n">
        <v>0.01</v>
      </c>
      <c r="F159" s="29" t="n">
        <f aca="false">IFERROR(INDEX(Insumos!$F$4:$F$168,MATCH($C159,Insumos!$A$4:$A$168,0)),1)</f>
        <v>0.88</v>
      </c>
      <c r="G159" s="30" t="n">
        <f aca="false">IFERROR(E159/F159,0)</f>
        <v>0.0113636363636364</v>
      </c>
      <c r="H159" s="31" t="n">
        <f aca="false">IFERROR(INDEX(Insumos!$G$20:$G$168,MATCH($C159,Insumos!$A$20:$A$168,0)),0)</f>
        <v>24.99</v>
      </c>
      <c r="I159" s="27" t="n">
        <f aca="false">G159*H159</f>
        <v>0.283977272727273</v>
      </c>
    </row>
    <row r="160" customFormat="false" ht="15" hidden="false" customHeight="false" outlineLevel="0" collapsed="false">
      <c r="A160" s="15" t="s">
        <v>485</v>
      </c>
      <c r="B160" s="15" t="s">
        <v>486</v>
      </c>
      <c r="C160" s="16" t="s">
        <v>118</v>
      </c>
      <c r="D160" s="15" t="s">
        <v>119</v>
      </c>
      <c r="E160" s="18" t="n">
        <v>0.1</v>
      </c>
      <c r="F160" s="29" t="n">
        <f aca="false">IFERROR(INDEX(Insumos!$F$4:$F$168,MATCH($C160,Insumos!$A$4:$A$168,0)),1)</f>
        <v>0.95</v>
      </c>
      <c r="G160" s="30" t="n">
        <f aca="false">IFERROR(E160/F160,0)</f>
        <v>0.105263157894737</v>
      </c>
      <c r="H160" s="31" t="n">
        <f aca="false">IFERROR(INDEX(Insumos!$G$20:$G$168,MATCH($C160,Insumos!$A$20:$A$168,0)),0)</f>
        <v>20</v>
      </c>
      <c r="I160" s="27" t="n">
        <f aca="false">G160*H160</f>
        <v>2.10526315789474</v>
      </c>
    </row>
    <row r="161" customFormat="false" ht="15" hidden="false" customHeight="false" outlineLevel="0" collapsed="false">
      <c r="A161" s="15" t="s">
        <v>487</v>
      </c>
      <c r="B161" s="15" t="s">
        <v>488</v>
      </c>
      <c r="C161" s="16" t="s">
        <v>247</v>
      </c>
      <c r="D161" s="15" t="s">
        <v>248</v>
      </c>
      <c r="E161" s="18" t="n">
        <v>0.1</v>
      </c>
      <c r="F161" s="29" t="n">
        <f aca="false">IFERROR(INDEX(Insumos!$F$4:$F$168,MATCH($C161,Insumos!$A$4:$A$168,0)),1)</f>
        <v>0.98</v>
      </c>
      <c r="G161" s="30" t="n">
        <f aca="false">IFERROR(E161/F161,0)</f>
        <v>0.102040816326531</v>
      </c>
      <c r="H161" s="31" t="n">
        <f aca="false">IFERROR(INDEX(Insumos!$G$20:$G$168,MATCH($C161,Insumos!$A$20:$A$168,0)),0)</f>
        <v>48.85</v>
      </c>
      <c r="I161" s="27" t="n">
        <f aca="false">G161*H161</f>
        <v>4.98469387755102</v>
      </c>
    </row>
    <row r="162" customFormat="false" ht="15" hidden="false" customHeight="false" outlineLevel="0" collapsed="false">
      <c r="A162" s="15" t="s">
        <v>487</v>
      </c>
      <c r="B162" s="15" t="s">
        <v>488</v>
      </c>
      <c r="C162" s="16" t="s">
        <v>111</v>
      </c>
      <c r="D162" s="15" t="s">
        <v>112</v>
      </c>
      <c r="E162" s="18" t="n">
        <v>0.15</v>
      </c>
      <c r="F162" s="29" t="n">
        <f aca="false">IFERROR(INDEX(Insumos!$F$4:$F$168,MATCH($C162,Insumos!$A$4:$A$168,0)),1)</f>
        <v>0.98</v>
      </c>
      <c r="G162" s="30" t="n">
        <f aca="false">IFERROR(E162/F162,0)</f>
        <v>0.153061224489796</v>
      </c>
      <c r="H162" s="31" t="n">
        <f aca="false">IFERROR(INDEX(Insumos!$G$20:$G$168,MATCH($C162,Insumos!$A$20:$A$168,0)),0)</f>
        <v>16.9</v>
      </c>
      <c r="I162" s="27" t="n">
        <f aca="false">G162*H162</f>
        <v>2.58673469387755</v>
      </c>
    </row>
    <row r="163" customFormat="false" ht="15" hidden="false" customHeight="false" outlineLevel="0" collapsed="false">
      <c r="A163" s="15" t="s">
        <v>487</v>
      </c>
      <c r="B163" s="15" t="s">
        <v>488</v>
      </c>
      <c r="C163" s="16" t="s">
        <v>284</v>
      </c>
      <c r="D163" s="15" t="s">
        <v>285</v>
      </c>
      <c r="E163" s="18" t="n">
        <v>0.15</v>
      </c>
      <c r="F163" s="29" t="n">
        <f aca="false">IFERROR(INDEX(Insumos!$F$4:$F$168,MATCH($C163,Insumos!$A$4:$A$168,0)),1)</f>
        <v>0.98</v>
      </c>
      <c r="G163" s="30" t="n">
        <f aca="false">IFERROR(E163/F163,0)</f>
        <v>0.153061224489796</v>
      </c>
      <c r="H163" s="31" t="n">
        <f aca="false">IFERROR(INDEX(Insumos!$G$20:$G$168,MATCH($C163,Insumos!$A$20:$A$168,0)),0)</f>
        <v>28.75</v>
      </c>
      <c r="I163" s="27" t="n">
        <f aca="false">G163*H163</f>
        <v>4.40051020408163</v>
      </c>
    </row>
    <row r="164" customFormat="false" ht="15" hidden="false" customHeight="false" outlineLevel="0" collapsed="false">
      <c r="A164" s="15" t="s">
        <v>487</v>
      </c>
      <c r="B164" s="15" t="s">
        <v>488</v>
      </c>
      <c r="C164" s="16" t="s">
        <v>374</v>
      </c>
      <c r="D164" s="15" t="s">
        <v>375</v>
      </c>
      <c r="E164" s="18" t="n">
        <v>0.15</v>
      </c>
      <c r="F164" s="29" t="n">
        <f aca="false">IFERROR(INDEX(Insumos!$F$4:$F$168,MATCH($C164,Insumos!$A$4:$A$168,0)),1)</f>
        <v>0.98</v>
      </c>
      <c r="G164" s="30" t="n">
        <f aca="false">IFERROR(E164/F164,0)</f>
        <v>0.153061224489796</v>
      </c>
      <c r="H164" s="31" t="n">
        <f aca="false">IFERROR(INDEX(Insumos!$G$20:$G$168,MATCH($C164,Insumos!$A$20:$A$168,0)),0)</f>
        <v>78.9</v>
      </c>
      <c r="I164" s="27" t="n">
        <f aca="false">G164*H164</f>
        <v>12.0765306122449</v>
      </c>
    </row>
    <row r="165" customFormat="false" ht="15" hidden="false" customHeight="false" outlineLevel="0" collapsed="false">
      <c r="A165" s="15" t="s">
        <v>487</v>
      </c>
      <c r="B165" s="15" t="s">
        <v>488</v>
      </c>
      <c r="C165" s="16" t="s">
        <v>279</v>
      </c>
      <c r="D165" s="15" t="s">
        <v>280</v>
      </c>
      <c r="E165" s="18" t="n">
        <v>0.02</v>
      </c>
      <c r="F165" s="29" t="n">
        <f aca="false">IFERROR(INDEX(Insumos!$F$4:$F$168,MATCH($C165,Insumos!$A$4:$A$168,0)),1)</f>
        <v>0.98</v>
      </c>
      <c r="G165" s="30" t="n">
        <f aca="false">IFERROR(E165/F165,0)</f>
        <v>0.0204081632653061</v>
      </c>
      <c r="H165" s="31" t="n">
        <f aca="false">IFERROR(INDEX(Insumos!$G$20:$G$168,MATCH($C165,Insumos!$A$20:$A$168,0)),0)</f>
        <v>19.04</v>
      </c>
      <c r="I165" s="27" t="n">
        <f aca="false">G165*H165</f>
        <v>0.388571428571429</v>
      </c>
    </row>
    <row r="166" customFormat="false" ht="15" hidden="false" customHeight="false" outlineLevel="0" collapsed="false">
      <c r="A166" s="15" t="s">
        <v>487</v>
      </c>
      <c r="B166" s="15" t="s">
        <v>488</v>
      </c>
      <c r="C166" s="16" t="s">
        <v>118</v>
      </c>
      <c r="D166" s="15" t="s">
        <v>119</v>
      </c>
      <c r="E166" s="18" t="n">
        <v>0.03</v>
      </c>
      <c r="F166" s="29" t="n">
        <f aca="false">IFERROR(INDEX(Insumos!$F$4:$F$168,MATCH($C166,Insumos!$A$4:$A$168,0)),1)</f>
        <v>0.95</v>
      </c>
      <c r="G166" s="30" t="n">
        <f aca="false">IFERROR(E166/F166,0)</f>
        <v>0.0315789473684211</v>
      </c>
      <c r="H166" s="31" t="n">
        <f aca="false">IFERROR(INDEX(Insumos!$G$20:$G$168,MATCH($C166,Insumos!$A$20:$A$168,0)),0)</f>
        <v>20</v>
      </c>
      <c r="I166" s="27" t="n">
        <f aca="false">G166*H166</f>
        <v>0.631578947368421</v>
      </c>
    </row>
    <row r="167" customFormat="false" ht="15" hidden="false" customHeight="false" outlineLevel="0" collapsed="false">
      <c r="A167" s="15" t="s">
        <v>487</v>
      </c>
      <c r="B167" s="15" t="s">
        <v>488</v>
      </c>
      <c r="C167" s="16" t="s">
        <v>376</v>
      </c>
      <c r="D167" s="15" t="s">
        <v>377</v>
      </c>
      <c r="E167" s="18" t="n">
        <v>0.2</v>
      </c>
      <c r="F167" s="29" t="n">
        <f aca="false">IFERROR(INDEX(Insumos!$F$4:$F$168,MATCH($C167,Insumos!$A$4:$A$168,0)),1)</f>
        <v>0.98</v>
      </c>
      <c r="G167" s="30" t="n">
        <f aca="false">IFERROR(E167/F167,0)</f>
        <v>0.204081632653061</v>
      </c>
      <c r="H167" s="31" t="n">
        <f aca="false">IFERROR(INDEX(Insumos!$G$20:$G$168,MATCH($C167,Insumos!$A$20:$A$168,0)),0)</f>
        <v>34.06</v>
      </c>
      <c r="I167" s="27" t="n">
        <f aca="false">G167*H167</f>
        <v>6.95102040816327</v>
      </c>
    </row>
    <row r="168" customFormat="false" ht="15" hidden="false" customHeight="false" outlineLevel="0" collapsed="false">
      <c r="A168" s="15" t="s">
        <v>487</v>
      </c>
      <c r="B168" s="15" t="s">
        <v>488</v>
      </c>
      <c r="C168" s="16" t="s">
        <v>249</v>
      </c>
      <c r="D168" s="15" t="s">
        <v>250</v>
      </c>
      <c r="E168" s="18" t="n">
        <v>0.1</v>
      </c>
      <c r="F168" s="29" t="n">
        <f aca="false">IFERROR(INDEX(Insumos!$F$4:$F$168,MATCH($C168,Insumos!$A$4:$A$168,0)),1)</f>
        <v>0.98</v>
      </c>
      <c r="G168" s="30" t="n">
        <f aca="false">IFERROR(E168/F168,0)</f>
        <v>0.102040816326531</v>
      </c>
      <c r="H168" s="31" t="n">
        <f aca="false">IFERROR(INDEX(Insumos!$G$20:$G$168,MATCH($C168,Insumos!$A$20:$A$168,0)),0)</f>
        <v>41.42</v>
      </c>
      <c r="I168" s="27" t="n">
        <f aca="false">G168*H168</f>
        <v>4.2265306122449</v>
      </c>
    </row>
    <row r="169" customFormat="false" ht="15" hidden="false" customHeight="false" outlineLevel="0" collapsed="false">
      <c r="A169" s="15" t="s">
        <v>487</v>
      </c>
      <c r="B169" s="15" t="s">
        <v>488</v>
      </c>
      <c r="C169" s="16" t="s">
        <v>173</v>
      </c>
      <c r="D169" s="15" t="s">
        <v>174</v>
      </c>
      <c r="E169" s="18" t="n">
        <v>0.1</v>
      </c>
      <c r="F169" s="29" t="n">
        <f aca="false">IFERROR(INDEX(Insumos!$F$4:$F$168,MATCH($C169,Insumos!$A$4:$A$168,0)),1)</f>
        <v>0.98</v>
      </c>
      <c r="G169" s="30" t="n">
        <f aca="false">IFERROR(E169/F169,0)</f>
        <v>0.102040816326531</v>
      </c>
      <c r="H169" s="31" t="n">
        <f aca="false">IFERROR(INDEX(Insumos!$G$20:$G$168,MATCH($C169,Insumos!$A$20:$A$168,0)),0)</f>
        <v>34.89</v>
      </c>
      <c r="I169" s="27" t="n">
        <f aca="false">G169*H169</f>
        <v>3.56020408163265</v>
      </c>
    </row>
    <row r="170" customFormat="false" ht="15" hidden="false" customHeight="false" outlineLevel="0" collapsed="false">
      <c r="A170" s="15" t="s">
        <v>489</v>
      </c>
      <c r="B170" s="15" t="s">
        <v>488</v>
      </c>
      <c r="C170" s="16" t="s">
        <v>247</v>
      </c>
      <c r="D170" s="15" t="s">
        <v>248</v>
      </c>
      <c r="E170" s="18" t="n">
        <v>0.1</v>
      </c>
      <c r="F170" s="29" t="n">
        <f aca="false">IFERROR(INDEX(Insumos!$F$4:$F$168,MATCH($C170,Insumos!$A$4:$A$168,0)),1)</f>
        <v>0.98</v>
      </c>
      <c r="G170" s="30" t="n">
        <f aca="false">IFERROR(E170/F170,0)</f>
        <v>0.102040816326531</v>
      </c>
      <c r="H170" s="31" t="n">
        <f aca="false">IFERROR(INDEX(Insumos!$G$20:$G$168,MATCH($C170,Insumos!$A$20:$A$168,0)),0)</f>
        <v>48.85</v>
      </c>
      <c r="I170" s="27" t="n">
        <f aca="false">G170*H170</f>
        <v>4.98469387755102</v>
      </c>
    </row>
    <row r="171" customFormat="false" ht="15" hidden="false" customHeight="false" outlineLevel="0" collapsed="false">
      <c r="A171" s="15" t="s">
        <v>489</v>
      </c>
      <c r="B171" s="15" t="s">
        <v>488</v>
      </c>
      <c r="C171" s="16" t="s">
        <v>111</v>
      </c>
      <c r="D171" s="15" t="s">
        <v>112</v>
      </c>
      <c r="E171" s="18" t="n">
        <v>0.15</v>
      </c>
      <c r="F171" s="29" t="n">
        <f aca="false">IFERROR(INDEX(Insumos!$F$4:$F$168,MATCH($C171,Insumos!$A$4:$A$168,0)),1)</f>
        <v>0.98</v>
      </c>
      <c r="G171" s="30" t="n">
        <f aca="false">IFERROR(E171/F171,0)</f>
        <v>0.153061224489796</v>
      </c>
      <c r="H171" s="31" t="n">
        <f aca="false">IFERROR(INDEX(Insumos!$G$20:$G$168,MATCH($C171,Insumos!$A$20:$A$168,0)),0)</f>
        <v>16.9</v>
      </c>
      <c r="I171" s="27" t="n">
        <f aca="false">G171*H171</f>
        <v>2.58673469387755</v>
      </c>
    </row>
    <row r="172" customFormat="false" ht="15" hidden="false" customHeight="false" outlineLevel="0" collapsed="false">
      <c r="A172" s="15" t="s">
        <v>489</v>
      </c>
      <c r="B172" s="15" t="s">
        <v>488</v>
      </c>
      <c r="C172" s="16" t="s">
        <v>284</v>
      </c>
      <c r="D172" s="15" t="s">
        <v>285</v>
      </c>
      <c r="E172" s="18" t="n">
        <v>0.15</v>
      </c>
      <c r="F172" s="29" t="n">
        <f aca="false">IFERROR(INDEX(Insumos!$F$4:$F$168,MATCH($C172,Insumos!$A$4:$A$168,0)),1)</f>
        <v>0.98</v>
      </c>
      <c r="G172" s="30" t="n">
        <f aca="false">IFERROR(E172/F172,0)</f>
        <v>0.153061224489796</v>
      </c>
      <c r="H172" s="31" t="n">
        <f aca="false">IFERROR(INDEX(Insumos!$G$20:$G$168,MATCH($C172,Insumos!$A$20:$A$168,0)),0)</f>
        <v>28.75</v>
      </c>
      <c r="I172" s="27" t="n">
        <f aca="false">G172*H172</f>
        <v>4.40051020408163</v>
      </c>
    </row>
    <row r="173" customFormat="false" ht="15" hidden="false" customHeight="false" outlineLevel="0" collapsed="false">
      <c r="A173" s="15" t="s">
        <v>489</v>
      </c>
      <c r="B173" s="15" t="s">
        <v>488</v>
      </c>
      <c r="C173" s="16" t="s">
        <v>374</v>
      </c>
      <c r="D173" s="15" t="s">
        <v>375</v>
      </c>
      <c r="E173" s="18" t="n">
        <v>0.15</v>
      </c>
      <c r="F173" s="29" t="n">
        <f aca="false">IFERROR(INDEX(Insumos!$F$4:$F$168,MATCH($C173,Insumos!$A$4:$A$168,0)),1)</f>
        <v>0.98</v>
      </c>
      <c r="G173" s="30" t="n">
        <f aca="false">IFERROR(E173/F173,0)</f>
        <v>0.153061224489796</v>
      </c>
      <c r="H173" s="31" t="n">
        <f aca="false">IFERROR(INDEX(Insumos!$G$20:$G$168,MATCH($C173,Insumos!$A$20:$A$168,0)),0)</f>
        <v>78.9</v>
      </c>
      <c r="I173" s="27" t="n">
        <f aca="false">G173*H173</f>
        <v>12.0765306122449</v>
      </c>
    </row>
    <row r="174" customFormat="false" ht="15" hidden="false" customHeight="false" outlineLevel="0" collapsed="false">
      <c r="A174" s="15" t="s">
        <v>489</v>
      </c>
      <c r="B174" s="15" t="s">
        <v>488</v>
      </c>
      <c r="C174" s="16" t="s">
        <v>279</v>
      </c>
      <c r="D174" s="15" t="s">
        <v>280</v>
      </c>
      <c r="E174" s="18" t="n">
        <v>0.02</v>
      </c>
      <c r="F174" s="29" t="n">
        <f aca="false">IFERROR(INDEX(Insumos!$F$4:$F$168,MATCH($C174,Insumos!$A$4:$A$168,0)),1)</f>
        <v>0.98</v>
      </c>
      <c r="G174" s="30" t="n">
        <f aca="false">IFERROR(E174/F174,0)</f>
        <v>0.0204081632653061</v>
      </c>
      <c r="H174" s="31" t="n">
        <f aca="false">IFERROR(INDEX(Insumos!$G$20:$G$168,MATCH($C174,Insumos!$A$20:$A$168,0)),0)</f>
        <v>19.04</v>
      </c>
      <c r="I174" s="27" t="n">
        <f aca="false">G174*H174</f>
        <v>0.388571428571429</v>
      </c>
    </row>
    <row r="175" customFormat="false" ht="15" hidden="false" customHeight="false" outlineLevel="0" collapsed="false">
      <c r="A175" s="15" t="s">
        <v>489</v>
      </c>
      <c r="B175" s="15" t="s">
        <v>488</v>
      </c>
      <c r="C175" s="16" t="s">
        <v>118</v>
      </c>
      <c r="D175" s="15" t="s">
        <v>119</v>
      </c>
      <c r="E175" s="18" t="n">
        <v>0.03</v>
      </c>
      <c r="F175" s="29" t="n">
        <f aca="false">IFERROR(INDEX(Insumos!$F$4:$F$168,MATCH($C175,Insumos!$A$4:$A$168,0)),1)</f>
        <v>0.95</v>
      </c>
      <c r="G175" s="30" t="n">
        <f aca="false">IFERROR(E175/F175,0)</f>
        <v>0.0315789473684211</v>
      </c>
      <c r="H175" s="31" t="n">
        <f aca="false">IFERROR(INDEX(Insumos!$G$20:$G$168,MATCH($C175,Insumos!$A$20:$A$168,0)),0)</f>
        <v>20</v>
      </c>
      <c r="I175" s="27" t="n">
        <f aca="false">G175*H175</f>
        <v>0.631578947368421</v>
      </c>
    </row>
    <row r="176" customFormat="false" ht="15" hidden="false" customHeight="false" outlineLevel="0" collapsed="false">
      <c r="A176" s="15" t="s">
        <v>489</v>
      </c>
      <c r="B176" s="15" t="s">
        <v>488</v>
      </c>
      <c r="C176" s="16" t="s">
        <v>376</v>
      </c>
      <c r="D176" s="15" t="s">
        <v>377</v>
      </c>
      <c r="E176" s="18" t="n">
        <v>0.2</v>
      </c>
      <c r="F176" s="29" t="n">
        <f aca="false">IFERROR(INDEX(Insumos!$F$4:$F$168,MATCH($C176,Insumos!$A$4:$A$168,0)),1)</f>
        <v>0.98</v>
      </c>
      <c r="G176" s="30" t="n">
        <f aca="false">IFERROR(E176/F176,0)</f>
        <v>0.204081632653061</v>
      </c>
      <c r="H176" s="31" t="n">
        <f aca="false">IFERROR(INDEX(Insumos!$G$20:$G$168,MATCH($C176,Insumos!$A$20:$A$168,0)),0)</f>
        <v>34.06</v>
      </c>
      <c r="I176" s="27" t="n">
        <f aca="false">G176*H176</f>
        <v>6.95102040816327</v>
      </c>
    </row>
    <row r="177" customFormat="false" ht="15" hidden="false" customHeight="false" outlineLevel="0" collapsed="false">
      <c r="A177" s="15" t="s">
        <v>489</v>
      </c>
      <c r="B177" s="15" t="s">
        <v>488</v>
      </c>
      <c r="C177" s="16" t="s">
        <v>249</v>
      </c>
      <c r="D177" s="15" t="s">
        <v>250</v>
      </c>
      <c r="E177" s="18" t="n">
        <v>0.1</v>
      </c>
      <c r="F177" s="29" t="n">
        <f aca="false">IFERROR(INDEX(Insumos!$F$4:$F$168,MATCH($C177,Insumos!$A$4:$A$168,0)),1)</f>
        <v>0.98</v>
      </c>
      <c r="G177" s="30" t="n">
        <f aca="false">IFERROR(E177/F177,0)</f>
        <v>0.102040816326531</v>
      </c>
      <c r="H177" s="31" t="n">
        <f aca="false">IFERROR(INDEX(Insumos!$G$20:$G$168,MATCH($C177,Insumos!$A$20:$A$168,0)),0)</f>
        <v>41.42</v>
      </c>
      <c r="I177" s="27" t="n">
        <f aca="false">G177*H177</f>
        <v>4.2265306122449</v>
      </c>
    </row>
    <row r="178" customFormat="false" ht="15" hidden="false" customHeight="false" outlineLevel="0" collapsed="false">
      <c r="A178" s="15" t="s">
        <v>489</v>
      </c>
      <c r="B178" s="15" t="s">
        <v>488</v>
      </c>
      <c r="C178" s="16" t="s">
        <v>173</v>
      </c>
      <c r="D178" s="15" t="s">
        <v>174</v>
      </c>
      <c r="E178" s="18" t="n">
        <v>0.1</v>
      </c>
      <c r="F178" s="29" t="n">
        <f aca="false">IFERROR(INDEX(Insumos!$F$4:$F$168,MATCH($C178,Insumos!$A$4:$A$168,0)),1)</f>
        <v>0.98</v>
      </c>
      <c r="G178" s="30" t="n">
        <f aca="false">IFERROR(E178/F178,0)</f>
        <v>0.102040816326531</v>
      </c>
      <c r="H178" s="31" t="n">
        <f aca="false">IFERROR(INDEX(Insumos!$G$20:$G$168,MATCH($C178,Insumos!$A$20:$A$168,0)),0)</f>
        <v>34.89</v>
      </c>
      <c r="I178" s="27" t="n">
        <f aca="false">G178*H178</f>
        <v>3.56020408163265</v>
      </c>
    </row>
    <row r="179" customFormat="false" ht="15" hidden="false" customHeight="false" outlineLevel="0" collapsed="false">
      <c r="A179" s="15" t="s">
        <v>58</v>
      </c>
      <c r="B179" s="15" t="s">
        <v>59</v>
      </c>
      <c r="C179" s="16" t="s">
        <v>403</v>
      </c>
      <c r="D179" s="15" t="s">
        <v>404</v>
      </c>
      <c r="E179" s="18" t="n">
        <v>2</v>
      </c>
      <c r="F179" s="29" t="n">
        <f aca="false">IFERROR(INDEX(Insumos!$F$4:$F$168,MATCH($C179,Insumos!$A$4:$A$168,0)),1)</f>
        <v>0.98</v>
      </c>
      <c r="G179" s="30" t="n">
        <f aca="false">IFERROR(E179/F179,0)</f>
        <v>2.04081632653061</v>
      </c>
      <c r="H179" s="31" t="n">
        <f aca="false">IFERROR(INDEX(Insumos!$G$20:$G$168,MATCH($C179,Insumos!$A$20:$A$168,0)),0)</f>
        <v>1.5</v>
      </c>
      <c r="I179" s="27" t="n">
        <f aca="false">G179*H179</f>
        <v>3.06122448979592</v>
      </c>
    </row>
    <row r="180" customFormat="false" ht="15" hidden="false" customHeight="false" outlineLevel="0" collapsed="false">
      <c r="A180" s="15" t="s">
        <v>61</v>
      </c>
      <c r="B180" s="15" t="s">
        <v>490</v>
      </c>
      <c r="C180" s="16" t="s">
        <v>403</v>
      </c>
      <c r="D180" s="15" t="s">
        <v>404</v>
      </c>
      <c r="E180" s="18" t="n">
        <v>1</v>
      </c>
      <c r="F180" s="29" t="n">
        <f aca="false">IFERROR(INDEX(Insumos!$F$4:$F$168,MATCH($C180,Insumos!$A$4:$A$168,0)),1)</f>
        <v>0.98</v>
      </c>
      <c r="G180" s="30" t="n">
        <f aca="false">IFERROR(E180/F180,0)</f>
        <v>1.02040816326531</v>
      </c>
      <c r="H180" s="31" t="n">
        <f aca="false">IFERROR(INDEX(Insumos!$G$20:$G$168,MATCH($C180,Insumos!$A$20:$A$168,0)),0)</f>
        <v>1.5</v>
      </c>
      <c r="I180" s="27" t="n">
        <f aca="false">G180*H180</f>
        <v>1.53061224489796</v>
      </c>
    </row>
    <row r="181" customFormat="false" ht="15" hidden="false" customHeight="false" outlineLevel="0" collapsed="false">
      <c r="A181" s="15" t="s">
        <v>63</v>
      </c>
      <c r="B181" s="15" t="s">
        <v>64</v>
      </c>
      <c r="C181" s="16" t="s">
        <v>376</v>
      </c>
      <c r="D181" s="15" t="s">
        <v>377</v>
      </c>
      <c r="E181" s="18" t="n">
        <v>0.2</v>
      </c>
      <c r="F181" s="29" t="n">
        <f aca="false">IFERROR(INDEX(Insumos!$F$4:$F$168,MATCH($C181,Insumos!$A$4:$A$168,0)),1)</f>
        <v>0.98</v>
      </c>
      <c r="G181" s="30" t="n">
        <f aca="false">IFERROR(E181/F181,0)</f>
        <v>0.204081632653061</v>
      </c>
      <c r="H181" s="31" t="n">
        <f aca="false">IFERROR(INDEX(Insumos!$G$20:$G$168,MATCH($C181,Insumos!$A$20:$A$168,0)),0)</f>
        <v>34.06</v>
      </c>
      <c r="I181" s="27" t="n">
        <f aca="false">G181*H181</f>
        <v>6.95102040816327</v>
      </c>
    </row>
    <row r="182" customFormat="false" ht="15" hidden="false" customHeight="false" outlineLevel="0" collapsed="false">
      <c r="A182" s="15" t="s">
        <v>63</v>
      </c>
      <c r="B182" s="15" t="s">
        <v>64</v>
      </c>
      <c r="C182" s="16" t="s">
        <v>118</v>
      </c>
      <c r="D182" s="15" t="s">
        <v>119</v>
      </c>
      <c r="E182" s="18" t="n">
        <v>0.05</v>
      </c>
      <c r="F182" s="29" t="n">
        <f aca="false">IFERROR(INDEX(Insumos!$F$4:$F$168,MATCH($C182,Insumos!$A$4:$A$168,0)),1)</f>
        <v>0.95</v>
      </c>
      <c r="G182" s="30" t="n">
        <f aca="false">IFERROR(E182/F182,0)</f>
        <v>0.0526315789473684</v>
      </c>
      <c r="H182" s="31" t="n">
        <f aca="false">IFERROR(INDEX(Insumos!$G$20:$G$168,MATCH($C182,Insumos!$A$20:$A$168,0)),0)</f>
        <v>20</v>
      </c>
      <c r="I182" s="27" t="n">
        <f aca="false">G182*H182</f>
        <v>1.05263157894737</v>
      </c>
    </row>
    <row r="183" customFormat="false" ht="15" hidden="false" customHeight="false" outlineLevel="0" collapsed="false">
      <c r="A183" s="15" t="s">
        <v>63</v>
      </c>
      <c r="B183" s="15" t="s">
        <v>64</v>
      </c>
      <c r="C183" s="16" t="s">
        <v>94</v>
      </c>
      <c r="D183" s="15" t="s">
        <v>95</v>
      </c>
      <c r="E183" s="18" t="n">
        <v>0.003</v>
      </c>
      <c r="F183" s="29" t="n">
        <f aca="false">IFERROR(INDEX(Insumos!$F$4:$F$168,MATCH($C183,Insumos!$A$4:$A$168,0)),1)</f>
        <v>0.88</v>
      </c>
      <c r="G183" s="30" t="n">
        <f aca="false">IFERROR(E183/F183,0)</f>
        <v>0.00340909090909091</v>
      </c>
      <c r="H183" s="31" t="n">
        <f aca="false">IFERROR(INDEX(Insumos!$G$20:$G$168,MATCH($C183,Insumos!$A$20:$A$168,0)),0)</f>
        <v>24.99</v>
      </c>
      <c r="I183" s="27" t="n">
        <f aca="false">G183*H183</f>
        <v>0.0851931818181818</v>
      </c>
    </row>
    <row r="184" customFormat="false" ht="15" hidden="false" customHeight="false" outlineLevel="0" collapsed="false">
      <c r="A184" s="15" t="s">
        <v>63</v>
      </c>
      <c r="B184" s="15" t="s">
        <v>64</v>
      </c>
      <c r="C184" s="16" t="s">
        <v>281</v>
      </c>
      <c r="D184" s="15" t="s">
        <v>282</v>
      </c>
      <c r="E184" s="18" t="n">
        <v>0.005</v>
      </c>
      <c r="F184" s="29" t="n">
        <f aca="false">IFERROR(INDEX(Insumos!$F$4:$F$168,MATCH($C184,Insumos!$A$4:$A$168,0)),1)</f>
        <v>0.98</v>
      </c>
      <c r="G184" s="30" t="n">
        <f aca="false">IFERROR(E184/F184,0)</f>
        <v>0.00510204081632653</v>
      </c>
      <c r="H184" s="31" t="n">
        <f aca="false">IFERROR(INDEX(Insumos!$G$20:$G$168,MATCH($C184,Insumos!$A$20:$A$168,0)),0)</f>
        <v>149.9</v>
      </c>
      <c r="I184" s="27" t="n">
        <f aca="false">G184*H184</f>
        <v>0.764795918367347</v>
      </c>
    </row>
    <row r="185" customFormat="false" ht="15" hidden="false" customHeight="false" outlineLevel="0" collapsed="false">
      <c r="A185" s="15" t="s">
        <v>63</v>
      </c>
      <c r="B185" s="15" t="s">
        <v>64</v>
      </c>
      <c r="C185" s="16" t="s">
        <v>403</v>
      </c>
      <c r="D185" s="15" t="s">
        <v>404</v>
      </c>
      <c r="E185" s="18" t="n">
        <v>0.6</v>
      </c>
      <c r="F185" s="29" t="n">
        <f aca="false">IFERROR(INDEX(Insumos!$F$4:$F$168,MATCH($C185,Insumos!$A$4:$A$168,0)),1)</f>
        <v>0.98</v>
      </c>
      <c r="G185" s="30" t="n">
        <f aca="false">IFERROR(E185/F185,0)</f>
        <v>0.612244897959184</v>
      </c>
      <c r="H185" s="31" t="n">
        <f aca="false">IFERROR(INDEX(Insumos!$G$20:$G$168,MATCH($C185,Insumos!$A$20:$A$168,0)),0)</f>
        <v>1.5</v>
      </c>
      <c r="I185" s="27" t="n">
        <f aca="false">G185*H185</f>
        <v>0.918367346938776</v>
      </c>
    </row>
    <row r="186" customFormat="false" ht="15" hidden="false" customHeight="false" outlineLevel="0" collapsed="false">
      <c r="A186" s="15" t="s">
        <v>63</v>
      </c>
      <c r="B186" s="15" t="s">
        <v>64</v>
      </c>
      <c r="C186" s="16" t="s">
        <v>368</v>
      </c>
      <c r="D186" s="15" t="s">
        <v>369</v>
      </c>
      <c r="E186" s="18" t="n">
        <v>0.005</v>
      </c>
      <c r="F186" s="29" t="n">
        <f aca="false">IFERROR(INDEX(Insumos!$F$4:$F$168,MATCH($C186,Insumos!$A$4:$A$168,0)),1)</f>
        <v>0.98</v>
      </c>
      <c r="G186" s="30" t="n">
        <f aca="false">IFERROR(E186/F186,0)</f>
        <v>0.00510204081632653</v>
      </c>
      <c r="H186" s="31" t="n">
        <f aca="false">IFERROR(INDEX(Insumos!$G$20:$G$168,MATCH($C186,Insumos!$A$20:$A$168,0)),0)</f>
        <v>3.73</v>
      </c>
      <c r="I186" s="27" t="n">
        <f aca="false">G186*H186</f>
        <v>0.019030612244898</v>
      </c>
    </row>
    <row r="187" customFormat="false" ht="15" hidden="false" customHeight="false" outlineLevel="0" collapsed="false">
      <c r="A187" s="15" t="s">
        <v>63</v>
      </c>
      <c r="B187" s="15" t="s">
        <v>64</v>
      </c>
      <c r="C187" s="16" t="s">
        <v>340</v>
      </c>
      <c r="D187" s="15" t="s">
        <v>341</v>
      </c>
      <c r="E187" s="18" t="n">
        <v>0.001</v>
      </c>
      <c r="F187" s="29" t="n">
        <f aca="false">IFERROR(INDEX(Insumos!$F$4:$F$168,MATCH($C187,Insumos!$A$4:$A$168,0)),1)</f>
        <v>0.95</v>
      </c>
      <c r="G187" s="30" t="n">
        <f aca="false">IFERROR(E187/F187,0)</f>
        <v>0.00105263157894737</v>
      </c>
      <c r="H187" s="31" t="n">
        <f aca="false">IFERROR(INDEX(Insumos!$G$20:$G$168,MATCH($C187,Insumos!$A$20:$A$168,0)),0)</f>
        <v>25.16</v>
      </c>
      <c r="I187" s="27" t="n">
        <f aca="false">G187*H187</f>
        <v>0.0264842105263158</v>
      </c>
    </row>
    <row r="188" customFormat="false" ht="15" hidden="false" customHeight="false" outlineLevel="0" collapsed="false">
      <c r="A188" s="15" t="s">
        <v>63</v>
      </c>
      <c r="B188" s="15" t="s">
        <v>64</v>
      </c>
      <c r="C188" s="16" t="s">
        <v>382</v>
      </c>
      <c r="D188" s="15" t="s">
        <v>383</v>
      </c>
      <c r="E188" s="18" t="n">
        <v>0.03</v>
      </c>
      <c r="F188" s="29" t="n">
        <f aca="false">IFERROR(INDEX(Insumos!$F$4:$F$168,MATCH($C188,Insumos!$A$4:$A$168,0)),1)</f>
        <v>0.98</v>
      </c>
      <c r="G188" s="30" t="n">
        <f aca="false">IFERROR(E188/F188,0)</f>
        <v>0.0306122448979592</v>
      </c>
      <c r="H188" s="31" t="n">
        <f aca="false">IFERROR(INDEX(Insumos!$G$20:$G$168,MATCH($C188,Insumos!$A$20:$A$168,0)),0)</f>
        <v>9.9</v>
      </c>
      <c r="I188" s="27" t="n">
        <f aca="false">G188*H188</f>
        <v>0.303061224489796</v>
      </c>
    </row>
    <row r="189" customFormat="false" ht="15" hidden="false" customHeight="false" outlineLevel="0" collapsed="false">
      <c r="A189" s="15" t="s">
        <v>63</v>
      </c>
      <c r="B189" s="15" t="s">
        <v>64</v>
      </c>
      <c r="C189" s="16" t="s">
        <v>370</v>
      </c>
      <c r="D189" s="15" t="s">
        <v>371</v>
      </c>
      <c r="E189" s="18" t="n">
        <v>0.03</v>
      </c>
      <c r="F189" s="29" t="n">
        <f aca="false">IFERROR(INDEX(Insumos!$F$4:$F$168,MATCH($C189,Insumos!$A$4:$A$168,0)),1)</f>
        <v>0.83</v>
      </c>
      <c r="G189" s="30" t="n">
        <f aca="false">IFERROR(E189/F189,0)</f>
        <v>0.036144578313253</v>
      </c>
      <c r="H189" s="31" t="n">
        <f aca="false">IFERROR(INDEX(Insumos!$G$20:$G$168,MATCH($C189,Insumos!$A$20:$A$168,0)),0)</f>
        <v>22.5</v>
      </c>
      <c r="I189" s="27" t="n">
        <f aca="false">G189*H189</f>
        <v>0.813253012048193</v>
      </c>
    </row>
    <row r="190" customFormat="false" ht="15" hidden="false" customHeight="false" outlineLevel="0" collapsed="false">
      <c r="A190" s="15" t="s">
        <v>492</v>
      </c>
      <c r="B190" s="15" t="s">
        <v>64</v>
      </c>
      <c r="C190" s="16" t="s">
        <v>63</v>
      </c>
      <c r="D190" s="15" t="s">
        <v>64</v>
      </c>
      <c r="E190" s="18" t="n">
        <v>0.05</v>
      </c>
      <c r="F190" s="29" t="n">
        <f aca="false">IFERROR(INDEX(Insumos!$F$4:$F$168,MATCH($C190,Insumos!$A$4:$A$168,0)),1)</f>
        <v>1.134</v>
      </c>
      <c r="G190" s="30" t="n">
        <f aca="false">IFERROR(E190/F190,0)</f>
        <v>0.0440917107583774</v>
      </c>
      <c r="H190" s="31" t="n">
        <f aca="false">Insumos!$G$10</f>
        <v>6.05987778836343</v>
      </c>
      <c r="I190" s="27" t="n">
        <f aca="false">G190*H190</f>
        <v>0.267190378675636</v>
      </c>
    </row>
    <row r="191" customFormat="false" ht="15" hidden="false" customHeight="false" outlineLevel="0" collapsed="false">
      <c r="A191" s="15" t="s">
        <v>65</v>
      </c>
      <c r="B191" s="15" t="s">
        <v>66</v>
      </c>
      <c r="C191" s="16" t="s">
        <v>277</v>
      </c>
      <c r="D191" s="15" t="s">
        <v>278</v>
      </c>
      <c r="E191" s="18" t="n">
        <v>0.2</v>
      </c>
      <c r="F191" s="29" t="n">
        <f aca="false">IFERROR(INDEX(Insumos!$F$4:$F$168,MATCH($C191,Insumos!$A$4:$A$168,0)),1)</f>
        <v>0.95</v>
      </c>
      <c r="G191" s="30" t="n">
        <f aca="false">IFERROR(E191/F191,0)</f>
        <v>0.210526315789474</v>
      </c>
      <c r="H191" s="31" t="n">
        <f aca="false">IFERROR(INDEX(Insumos!$G$20:$G$168,MATCH($C191,Insumos!$A$20:$A$168,0)),0)</f>
        <v>6.29</v>
      </c>
      <c r="I191" s="27" t="n">
        <f aca="false">G191*H191</f>
        <v>1.32421052631579</v>
      </c>
    </row>
    <row r="192" customFormat="false" ht="15" hidden="false" customHeight="false" outlineLevel="0" collapsed="false">
      <c r="A192" s="15" t="s">
        <v>65</v>
      </c>
      <c r="B192" s="15" t="s">
        <v>66</v>
      </c>
      <c r="C192" s="16" t="s">
        <v>266</v>
      </c>
      <c r="D192" s="15" t="s">
        <v>267</v>
      </c>
      <c r="E192" s="18" t="n">
        <v>0.008</v>
      </c>
      <c r="F192" s="29" t="n">
        <f aca="false">IFERROR(INDEX(Insumos!$F$4:$F$168,MATCH($C192,Insumos!$A$4:$A$168,0)),1)</f>
        <v>0.98</v>
      </c>
      <c r="G192" s="30" t="n">
        <f aca="false">IFERROR(E192/F192,0)</f>
        <v>0.00816326530612245</v>
      </c>
      <c r="H192" s="31" t="n">
        <f aca="false">IFERROR(INDEX(Insumos!$G$20:$G$168,MATCH($C192,Insumos!$A$20:$A$168,0)),0)</f>
        <v>101.35</v>
      </c>
      <c r="I192" s="27" t="n">
        <f aca="false">G192*H192</f>
        <v>0.82734693877551</v>
      </c>
    </row>
    <row r="193" customFormat="false" ht="15" hidden="false" customHeight="false" outlineLevel="0" collapsed="false">
      <c r="A193" s="15" t="s">
        <v>65</v>
      </c>
      <c r="B193" s="15" t="s">
        <v>66</v>
      </c>
      <c r="C193" s="16" t="s">
        <v>297</v>
      </c>
      <c r="D193" s="15" t="s">
        <v>298</v>
      </c>
      <c r="E193" s="18" t="n">
        <v>0.25</v>
      </c>
      <c r="F193" s="29" t="n">
        <f aca="false">IFERROR(INDEX(Insumos!$F$4:$F$168,MATCH($C193,Insumos!$A$4:$A$168,0)),1)</f>
        <v>0.95</v>
      </c>
      <c r="G193" s="30" t="n">
        <f aca="false">IFERROR(E193/F193,0)</f>
        <v>0.263157894736842</v>
      </c>
      <c r="H193" s="31" t="n">
        <f aca="false">IFERROR(INDEX(Insumos!$G$20:$G$168,MATCH($C193,Insumos!$A$20:$A$168,0)),0)</f>
        <v>87.9</v>
      </c>
      <c r="I193" s="27" t="n">
        <f aca="false">G193*H193</f>
        <v>23.1315789473684</v>
      </c>
    </row>
    <row r="194" customFormat="false" ht="15" hidden="false" customHeight="false" outlineLevel="0" collapsed="false">
      <c r="A194" s="15" t="s">
        <v>493</v>
      </c>
      <c r="B194" s="15" t="s">
        <v>494</v>
      </c>
      <c r="C194" s="16" t="s">
        <v>237</v>
      </c>
      <c r="D194" s="15" t="s">
        <v>238</v>
      </c>
      <c r="E194" s="18" t="n">
        <v>0.08</v>
      </c>
      <c r="F194" s="29" t="n">
        <f aca="false">IFERROR(INDEX(Insumos!$F$4:$F$168,MATCH($C194,Insumos!$A$4:$A$168,0)),1)</f>
        <v>0.98</v>
      </c>
      <c r="G194" s="30" t="n">
        <f aca="false">IFERROR(E194/F194,0)</f>
        <v>0.0816326530612245</v>
      </c>
      <c r="H194" s="31" t="n">
        <f aca="false">IFERROR(INDEX(Insumos!$G$20:$G$168,MATCH($C194,Insumos!$A$20:$A$168,0)),0)</f>
        <v>15</v>
      </c>
      <c r="I194" s="27" t="n">
        <f aca="false">G194*H194</f>
        <v>1.22448979591837</v>
      </c>
    </row>
    <row r="195" customFormat="false" ht="15" hidden="false" customHeight="false" outlineLevel="0" collapsed="false">
      <c r="A195" s="15" t="s">
        <v>493</v>
      </c>
      <c r="B195" s="15" t="s">
        <v>494</v>
      </c>
      <c r="C195" s="16" t="s">
        <v>210</v>
      </c>
      <c r="D195" s="15" t="s">
        <v>211</v>
      </c>
      <c r="E195" s="18" t="n">
        <v>0.12</v>
      </c>
      <c r="F195" s="29" t="n">
        <f aca="false">IFERROR(INDEX(Insumos!$F$4:$F$168,MATCH($C195,Insumos!$A$4:$A$168,0)),1)</f>
        <v>0.98</v>
      </c>
      <c r="G195" s="30" t="n">
        <f aca="false">IFERROR(E195/F195,0)</f>
        <v>0.122448979591837</v>
      </c>
      <c r="H195" s="31" t="n">
        <f aca="false">IFERROR(INDEX(Insumos!$G$20:$G$168,MATCH($C195,Insumos!$A$20:$A$168,0)),0)</f>
        <v>7.49</v>
      </c>
      <c r="I195" s="27" t="n">
        <f aca="false">G195*H195</f>
        <v>0.917142857142857</v>
      </c>
    </row>
    <row r="196" customFormat="false" ht="15" hidden="false" customHeight="false" outlineLevel="0" collapsed="false">
      <c r="A196" s="15" t="s">
        <v>493</v>
      </c>
      <c r="B196" s="15" t="s">
        <v>494</v>
      </c>
      <c r="C196" s="16" t="s">
        <v>344</v>
      </c>
      <c r="D196" s="15" t="s">
        <v>345</v>
      </c>
      <c r="E196" s="18" t="n">
        <v>0.04</v>
      </c>
      <c r="F196" s="29" t="n">
        <f aca="false">IFERROR(INDEX(Insumos!$F$4:$F$168,MATCH($C196,Insumos!$A$4:$A$168,0)),1)</f>
        <v>0.98</v>
      </c>
      <c r="G196" s="30" t="n">
        <f aca="false">IFERROR(E196/F196,0)</f>
        <v>0.0408163265306123</v>
      </c>
      <c r="H196" s="31" t="n">
        <f aca="false">IFERROR(INDEX(Insumos!$G$20:$G$168,MATCH($C196,Insumos!$A$20:$A$168,0)),0)</f>
        <v>12</v>
      </c>
      <c r="I196" s="27" t="n">
        <f aca="false">G196*H196</f>
        <v>0.489795918367347</v>
      </c>
    </row>
    <row r="197" customFormat="false" ht="15" hidden="false" customHeight="false" outlineLevel="0" collapsed="false">
      <c r="A197" s="15" t="s">
        <v>493</v>
      </c>
      <c r="B197" s="15" t="s">
        <v>494</v>
      </c>
      <c r="C197" s="16" t="s">
        <v>216</v>
      </c>
      <c r="D197" s="15" t="s">
        <v>217</v>
      </c>
      <c r="E197" s="18" t="n">
        <v>0.1</v>
      </c>
      <c r="F197" s="29" t="n">
        <f aca="false">IFERROR(INDEX(Insumos!$F$4:$F$168,MATCH($C197,Insumos!$A$4:$A$168,0)),1)</f>
        <v>0.98</v>
      </c>
      <c r="G197" s="30" t="n">
        <f aca="false">IFERROR(E197/F197,0)</f>
        <v>0.102040816326531</v>
      </c>
      <c r="H197" s="31" t="n">
        <f aca="false">IFERROR(INDEX(Insumos!$G$20:$G$168,MATCH($C197,Insumos!$A$20:$A$168,0)),0)</f>
        <v>36.8</v>
      </c>
      <c r="I197" s="27" t="n">
        <f aca="false">G197*H197</f>
        <v>3.75510204081633</v>
      </c>
    </row>
    <row r="198" customFormat="false" ht="15" hidden="false" customHeight="false" outlineLevel="0" collapsed="false">
      <c r="A198" s="15" t="s">
        <v>493</v>
      </c>
      <c r="B198" s="15" t="s">
        <v>494</v>
      </c>
      <c r="C198" s="16" t="s">
        <v>256</v>
      </c>
      <c r="D198" s="15" t="s">
        <v>257</v>
      </c>
      <c r="E198" s="18" t="n">
        <v>0.005</v>
      </c>
      <c r="F198" s="29" t="n">
        <f aca="false">IFERROR(INDEX(Insumos!$F$4:$F$168,MATCH($C198,Insumos!$A$4:$A$168,0)),1)</f>
        <v>0.98</v>
      </c>
      <c r="G198" s="30" t="n">
        <f aca="false">IFERROR(E198/F198,0)</f>
        <v>0.00510204081632653</v>
      </c>
      <c r="H198" s="31" t="n">
        <f aca="false">IFERROR(INDEX(Insumos!$G$20:$G$168,MATCH($C198,Insumos!$A$20:$A$168,0)),0)</f>
        <v>36.86</v>
      </c>
      <c r="I198" s="27" t="n">
        <f aca="false">G198*H198</f>
        <v>0.188061224489796</v>
      </c>
    </row>
    <row r="199" customFormat="false" ht="15" hidden="false" customHeight="false" outlineLevel="0" collapsed="false">
      <c r="A199" s="15" t="s">
        <v>493</v>
      </c>
      <c r="B199" s="15" t="s">
        <v>494</v>
      </c>
      <c r="C199" s="16" t="s">
        <v>349</v>
      </c>
      <c r="D199" s="15" t="s">
        <v>350</v>
      </c>
      <c r="E199" s="18" t="n">
        <v>0.01</v>
      </c>
      <c r="F199" s="29" t="n">
        <f aca="false">IFERROR(INDEX(Insumos!$F$4:$F$168,MATCH($C199,Insumos!$A$4:$A$168,0)),1)</f>
        <v>0.98</v>
      </c>
      <c r="G199" s="30" t="n">
        <f aca="false">IFERROR(E199/F199,0)</f>
        <v>0.0102040816326531</v>
      </c>
      <c r="H199" s="31" t="n">
        <f aca="false">IFERROR(INDEX(Insumos!$G$20:$G$168,MATCH($C199,Insumos!$A$20:$A$168,0)),0)</f>
        <v>54.4</v>
      </c>
      <c r="I199" s="27" t="n">
        <f aca="false">G199*H199</f>
        <v>0.555102040816327</v>
      </c>
    </row>
    <row r="200" customFormat="false" ht="15" hidden="false" customHeight="false" outlineLevel="0" collapsed="false">
      <c r="A200" s="15" t="s">
        <v>493</v>
      </c>
      <c r="B200" s="15" t="s">
        <v>494</v>
      </c>
      <c r="C200" s="16" t="s">
        <v>225</v>
      </c>
      <c r="D200" s="15" t="s">
        <v>226</v>
      </c>
      <c r="E200" s="18" t="n">
        <v>0.005</v>
      </c>
      <c r="F200" s="29" t="n">
        <f aca="false">IFERROR(INDEX(Insumos!$F$4:$F$168,MATCH($C200,Insumos!$A$4:$A$168,0)),1)</f>
        <v>0.98</v>
      </c>
      <c r="G200" s="30" t="n">
        <f aca="false">IFERROR(E200/F200,0)</f>
        <v>0.00510204081632653</v>
      </c>
      <c r="H200" s="31" t="n">
        <f aca="false">IFERROR(INDEX(Insumos!$G$20:$G$168,MATCH($C200,Insumos!$A$20:$A$168,0)),0)</f>
        <v>14.9</v>
      </c>
      <c r="I200" s="27" t="n">
        <f aca="false">G200*H200</f>
        <v>0.0760204081632653</v>
      </c>
    </row>
    <row r="201" customFormat="false" ht="15" hidden="false" customHeight="false" outlineLevel="0" collapsed="false">
      <c r="A201" s="15" t="s">
        <v>493</v>
      </c>
      <c r="B201" s="15" t="s">
        <v>494</v>
      </c>
      <c r="C201" s="16" t="s">
        <v>403</v>
      </c>
      <c r="D201" s="15" t="s">
        <v>404</v>
      </c>
      <c r="E201" s="18" t="n">
        <v>0.4</v>
      </c>
      <c r="F201" s="29" t="n">
        <f aca="false">IFERROR(INDEX(Insumos!$F$4:$F$168,MATCH($C201,Insumos!$A$4:$A$168,0)),1)</f>
        <v>0.98</v>
      </c>
      <c r="G201" s="30" t="n">
        <f aca="false">IFERROR(E201/F201,0)</f>
        <v>0.408163265306122</v>
      </c>
      <c r="H201" s="31" t="n">
        <f aca="false">IFERROR(INDEX(Insumos!$G$20:$G$168,MATCH($C201,Insumos!$A$20:$A$168,0)),0)</f>
        <v>1.5</v>
      </c>
      <c r="I201" s="27" t="n">
        <f aca="false">G201*H201</f>
        <v>0.612244897959184</v>
      </c>
    </row>
    <row r="202" customFormat="false" ht="15" hidden="false" customHeight="false" outlineLevel="0" collapsed="false">
      <c r="A202" s="15" t="s">
        <v>493</v>
      </c>
      <c r="B202" s="15" t="s">
        <v>494</v>
      </c>
      <c r="C202" s="16" t="s">
        <v>118</v>
      </c>
      <c r="D202" s="15" t="s">
        <v>119</v>
      </c>
      <c r="E202" s="18" t="n">
        <v>0.06</v>
      </c>
      <c r="F202" s="29" t="n">
        <f aca="false">IFERROR(INDEX(Insumos!$F$4:$F$168,MATCH($C202,Insumos!$A$4:$A$168,0)),1)</f>
        <v>0.95</v>
      </c>
      <c r="G202" s="30" t="n">
        <f aca="false">IFERROR(E202/F202,0)</f>
        <v>0.0631578947368421</v>
      </c>
      <c r="H202" s="31" t="n">
        <f aca="false">IFERROR(INDEX(Insumos!$G$20:$G$168,MATCH($C202,Insumos!$A$20:$A$168,0)),0)</f>
        <v>20</v>
      </c>
      <c r="I202" s="27" t="n">
        <f aca="false">G202*H202</f>
        <v>1.26315789473684</v>
      </c>
    </row>
    <row r="203" customFormat="false" ht="15" hidden="false" customHeight="false" outlineLevel="0" collapsed="false">
      <c r="A203" s="15" t="s">
        <v>493</v>
      </c>
      <c r="B203" s="15" t="s">
        <v>494</v>
      </c>
      <c r="C203" s="16" t="s">
        <v>121</v>
      </c>
      <c r="D203" s="15" t="s">
        <v>122</v>
      </c>
      <c r="E203" s="18" t="n">
        <v>0.03</v>
      </c>
      <c r="F203" s="29" t="n">
        <f aca="false">IFERROR(INDEX(Insumos!$F$4:$F$168,MATCH($C203,Insumos!$A$4:$A$168,0)),1)</f>
        <v>0.98</v>
      </c>
      <c r="G203" s="30" t="n">
        <f aca="false">IFERROR(E203/F203,0)</f>
        <v>0.0306122448979592</v>
      </c>
      <c r="H203" s="31" t="n">
        <f aca="false">IFERROR(INDEX(Insumos!$G$20:$G$168,MATCH($C203,Insumos!$A$20:$A$168,0)),0)</f>
        <v>6</v>
      </c>
      <c r="I203" s="27" t="n">
        <f aca="false">G203*H203</f>
        <v>0.183673469387755</v>
      </c>
    </row>
    <row r="204" customFormat="false" ht="15" hidden="false" customHeight="false" outlineLevel="0" collapsed="false">
      <c r="A204" s="15" t="s">
        <v>493</v>
      </c>
      <c r="B204" s="15" t="s">
        <v>494</v>
      </c>
      <c r="C204" s="16" t="s">
        <v>366</v>
      </c>
      <c r="D204" s="15" t="s">
        <v>367</v>
      </c>
      <c r="E204" s="18" t="n">
        <v>0.008</v>
      </c>
      <c r="F204" s="29" t="n">
        <f aca="false">IFERROR(INDEX(Insumos!$F$4:$F$168,MATCH($C204,Insumos!$A$4:$A$168,0)),1)</f>
        <v>0.98</v>
      </c>
      <c r="G204" s="30" t="n">
        <f aca="false">IFERROR(E204/F204,0)</f>
        <v>0.00816326530612245</v>
      </c>
      <c r="H204" s="31" t="n">
        <f aca="false">IFERROR(INDEX(Insumos!$G$20:$G$168,MATCH($C204,Insumos!$A$20:$A$168,0)),0)</f>
        <v>5</v>
      </c>
      <c r="I204" s="27" t="n">
        <f aca="false">G204*H204</f>
        <v>0.0408163265306123</v>
      </c>
    </row>
    <row r="205" customFormat="false" ht="15" hidden="false" customHeight="false" outlineLevel="0" collapsed="false">
      <c r="A205" s="15" t="s">
        <v>495</v>
      </c>
      <c r="B205" s="15" t="s">
        <v>68</v>
      </c>
      <c r="C205" s="16" t="s">
        <v>319</v>
      </c>
      <c r="D205" s="15" t="s">
        <v>320</v>
      </c>
      <c r="E205" s="18" t="n">
        <v>0.33</v>
      </c>
      <c r="F205" s="29" t="n">
        <f aca="false">IFERROR(INDEX(Insumos!$F$4:$F$168,MATCH($C205,Insumos!$A$4:$A$168,0)),1)</f>
        <v>0.98</v>
      </c>
      <c r="G205" s="30" t="n">
        <f aca="false">IFERROR(E205/F205,0)</f>
        <v>0.336734693877551</v>
      </c>
      <c r="H205" s="31" t="n">
        <f aca="false">IFERROR(INDEX(Insumos!$G$20:$G$168,MATCH($C205,Insumos!$A$20:$A$168,0)),0)</f>
        <v>16.0746</v>
      </c>
      <c r="I205" s="27" t="n">
        <f aca="false">G205*H205</f>
        <v>5.41287551020408</v>
      </c>
    </row>
    <row r="206" customFormat="false" ht="15" hidden="false" customHeight="false" outlineLevel="0" collapsed="false">
      <c r="A206" s="15" t="s">
        <v>495</v>
      </c>
      <c r="B206" s="15" t="s">
        <v>68</v>
      </c>
      <c r="C206" s="16" t="s">
        <v>216</v>
      </c>
      <c r="D206" s="15" t="s">
        <v>217</v>
      </c>
      <c r="E206" s="18" t="n">
        <v>0.145</v>
      </c>
      <c r="F206" s="29" t="n">
        <f aca="false">IFERROR(INDEX(Insumos!$F$4:$F$168,MATCH($C206,Insumos!$A$4:$A$168,0)),1)</f>
        <v>0.98</v>
      </c>
      <c r="G206" s="30" t="n">
        <f aca="false">IFERROR(E206/F206,0)</f>
        <v>0.147959183673469</v>
      </c>
      <c r="H206" s="31" t="n">
        <f aca="false">IFERROR(INDEX(Insumos!$G$20:$G$168,MATCH($C206,Insumos!$A$20:$A$168,0)),0)</f>
        <v>36.8</v>
      </c>
      <c r="I206" s="27" t="n">
        <f aca="false">G206*H206</f>
        <v>5.44489795918367</v>
      </c>
    </row>
    <row r="207" customFormat="false" ht="15" hidden="false" customHeight="false" outlineLevel="0" collapsed="false">
      <c r="A207" s="15" t="s">
        <v>495</v>
      </c>
      <c r="B207" s="15" t="s">
        <v>68</v>
      </c>
      <c r="C207" s="16" t="s">
        <v>235</v>
      </c>
      <c r="D207" s="15" t="s">
        <v>236</v>
      </c>
      <c r="E207" s="18" t="n">
        <v>0.145</v>
      </c>
      <c r="F207" s="29" t="n">
        <f aca="false">IFERROR(INDEX(Insumos!$F$4:$F$168,MATCH($C207,Insumos!$A$4:$A$168,0)),1)</f>
        <v>0.98</v>
      </c>
      <c r="G207" s="30" t="n">
        <f aca="false">IFERROR(E207/F207,0)</f>
        <v>0.147959183673469</v>
      </c>
      <c r="H207" s="31" t="n">
        <f aca="false">IFERROR(INDEX(Insumos!$G$20:$G$168,MATCH($C207,Insumos!$A$20:$A$168,0)),0)</f>
        <v>2.89</v>
      </c>
      <c r="I207" s="27" t="n">
        <f aca="false">G207*H207</f>
        <v>0.427602040816327</v>
      </c>
    </row>
    <row r="208" customFormat="false" ht="15" hidden="false" customHeight="false" outlineLevel="0" collapsed="false">
      <c r="A208" s="15" t="s">
        <v>495</v>
      </c>
      <c r="B208" s="15" t="s">
        <v>68</v>
      </c>
      <c r="C208" s="16" t="s">
        <v>118</v>
      </c>
      <c r="D208" s="15" t="s">
        <v>119</v>
      </c>
      <c r="E208" s="18" t="n">
        <v>0.11</v>
      </c>
      <c r="F208" s="29" t="n">
        <f aca="false">IFERROR(INDEX(Insumos!$F$4:$F$168,MATCH($C208,Insumos!$A$4:$A$168,0)),1)</f>
        <v>0.95</v>
      </c>
      <c r="G208" s="30" t="n">
        <f aca="false">IFERROR(E208/F208,0)</f>
        <v>0.115789473684211</v>
      </c>
      <c r="H208" s="31" t="n">
        <f aca="false">IFERROR(INDEX(Insumos!$G$20:$G$168,MATCH($C208,Insumos!$A$20:$A$168,0)),0)</f>
        <v>20</v>
      </c>
      <c r="I208" s="27" t="n">
        <f aca="false">G208*H208</f>
        <v>2.31578947368421</v>
      </c>
    </row>
    <row r="209" customFormat="false" ht="15" hidden="false" customHeight="false" outlineLevel="0" collapsed="false">
      <c r="A209" s="15" t="s">
        <v>495</v>
      </c>
      <c r="B209" s="15" t="s">
        <v>68</v>
      </c>
      <c r="C209" s="16" t="s">
        <v>403</v>
      </c>
      <c r="D209" s="15" t="s">
        <v>404</v>
      </c>
      <c r="E209" s="18" t="n">
        <v>0.26</v>
      </c>
      <c r="F209" s="29" t="n">
        <f aca="false">IFERROR(INDEX(Insumos!$F$4:$F$168,MATCH($C209,Insumos!$A$4:$A$168,0)),1)</f>
        <v>0.98</v>
      </c>
      <c r="G209" s="30" t="n">
        <f aca="false">IFERROR(E209/F209,0)</f>
        <v>0.26530612244898</v>
      </c>
      <c r="H209" s="31" t="n">
        <f aca="false">IFERROR(INDEX(Insumos!$G$20:$G$168,MATCH($C209,Insumos!$A$20:$A$168,0)),0)</f>
        <v>1.5</v>
      </c>
      <c r="I209" s="27" t="n">
        <f aca="false">G209*H209</f>
        <v>0.397959183673469</v>
      </c>
    </row>
    <row r="210" customFormat="false" ht="15" hidden="false" customHeight="false" outlineLevel="0" collapsed="false">
      <c r="A210" s="15" t="s">
        <v>495</v>
      </c>
      <c r="B210" s="15" t="s">
        <v>68</v>
      </c>
      <c r="C210" s="16" t="s">
        <v>366</v>
      </c>
      <c r="D210" s="15" t="s">
        <v>367</v>
      </c>
      <c r="E210" s="18" t="n">
        <v>0.01</v>
      </c>
      <c r="F210" s="29" t="n">
        <f aca="false">IFERROR(INDEX(Insumos!$F$4:$F$168,MATCH($C210,Insumos!$A$4:$A$168,0)),1)</f>
        <v>0.98</v>
      </c>
      <c r="G210" s="30" t="n">
        <f aca="false">IFERROR(E210/F210,0)</f>
        <v>0.0102040816326531</v>
      </c>
      <c r="H210" s="31" t="n">
        <f aca="false">IFERROR(INDEX(Insumos!$G$20:$G$168,MATCH($C210,Insumos!$A$20:$A$168,0)),0)</f>
        <v>5</v>
      </c>
      <c r="I210" s="27" t="n">
        <f aca="false">G210*H210</f>
        <v>0.0510204081632653</v>
      </c>
    </row>
    <row r="211" customFormat="false" ht="15" hidden="false" customHeight="false" outlineLevel="0" collapsed="false">
      <c r="A211" s="15" t="s">
        <v>52</v>
      </c>
      <c r="B211" s="15" t="s">
        <v>68</v>
      </c>
      <c r="C211" s="16" t="s">
        <v>336</v>
      </c>
      <c r="D211" s="15" t="s">
        <v>337</v>
      </c>
      <c r="E211" s="18" t="n">
        <v>0.2</v>
      </c>
      <c r="F211" s="29" t="n">
        <f aca="false">IFERROR(INDEX(Insumos!$F$4:$F$168,MATCH($C211,Insumos!$A$4:$A$168,0)),1)</f>
        <v>1</v>
      </c>
      <c r="G211" s="30" t="n">
        <f aca="false">IFERROR(E211/F211,0)</f>
        <v>0.2</v>
      </c>
      <c r="H211" s="31" t="n">
        <f aca="false">IFERROR(INDEX(Insumos!$G$20:$G$168,MATCH($C211,Insumos!$A$20:$A$168,0)),0)</f>
        <v>15</v>
      </c>
      <c r="I211" s="27" t="n">
        <f aca="false">G211*H211</f>
        <v>3</v>
      </c>
    </row>
    <row r="212" customFormat="false" ht="15" hidden="false" customHeight="false" outlineLevel="0" collapsed="false">
      <c r="A212" s="15" t="s">
        <v>52</v>
      </c>
      <c r="B212" s="15" t="s">
        <v>68</v>
      </c>
      <c r="C212" s="16" t="s">
        <v>325</v>
      </c>
      <c r="D212" s="15" t="s">
        <v>326</v>
      </c>
      <c r="E212" s="18" t="n">
        <v>0.3</v>
      </c>
      <c r="F212" s="29" t="n">
        <f aca="false">IFERROR(INDEX(Insumos!$F$4:$F$168,MATCH($C212,Insumos!$A$4:$A$168,0)),1)</f>
        <v>0.95</v>
      </c>
      <c r="G212" s="30" t="n">
        <f aca="false">IFERROR(E212/F212,0)</f>
        <v>0.315789473684211</v>
      </c>
      <c r="H212" s="31" t="n">
        <f aca="false">IFERROR(INDEX(Insumos!$G$20:$G$168,MATCH($C212,Insumos!$A$20:$A$168,0)),0)</f>
        <v>35</v>
      </c>
      <c r="I212" s="27" t="n">
        <f aca="false">G212*H212</f>
        <v>11.0526315789474</v>
      </c>
    </row>
    <row r="213" customFormat="false" ht="15" hidden="false" customHeight="false" outlineLevel="0" collapsed="false">
      <c r="A213" s="15" t="s">
        <v>52</v>
      </c>
      <c r="B213" s="15" t="s">
        <v>68</v>
      </c>
      <c r="C213" s="16" t="s">
        <v>340</v>
      </c>
      <c r="D213" s="15" t="s">
        <v>341</v>
      </c>
      <c r="E213" s="18" t="n">
        <v>0.002</v>
      </c>
      <c r="F213" s="29" t="n">
        <f aca="false">IFERROR(INDEX(Insumos!$F$4:$F$168,MATCH($C213,Insumos!$A$4:$A$168,0)),1)</f>
        <v>0.95</v>
      </c>
      <c r="G213" s="30" t="n">
        <f aca="false">IFERROR(E213/F213,0)</f>
        <v>0.00210526315789474</v>
      </c>
      <c r="H213" s="31" t="n">
        <f aca="false">IFERROR(INDEX(Insumos!$G$20:$G$168,MATCH($C213,Insumos!$A$20:$A$168,0)),0)</f>
        <v>25.16</v>
      </c>
      <c r="I213" s="27" t="n">
        <f aca="false">G213*H213</f>
        <v>0.0529684210526316</v>
      </c>
    </row>
    <row r="214" customFormat="false" ht="15" hidden="false" customHeight="false" outlineLevel="0" collapsed="false">
      <c r="A214" s="15" t="s">
        <v>52</v>
      </c>
      <c r="B214" s="15" t="s">
        <v>68</v>
      </c>
      <c r="C214" s="16" t="s">
        <v>366</v>
      </c>
      <c r="D214" s="15" t="s">
        <v>367</v>
      </c>
      <c r="E214" s="18" t="n">
        <v>0.005</v>
      </c>
      <c r="F214" s="29" t="n">
        <f aca="false">IFERROR(INDEX(Insumos!$F$4:$F$168,MATCH($C214,Insumos!$A$4:$A$168,0)),1)</f>
        <v>0.98</v>
      </c>
      <c r="G214" s="30" t="n">
        <f aca="false">IFERROR(E214/F214,0)</f>
        <v>0.00510204081632653</v>
      </c>
      <c r="H214" s="31" t="n">
        <f aca="false">IFERROR(INDEX(Insumos!$G$20:$G$168,MATCH($C214,Insumos!$A$20:$A$168,0)),0)</f>
        <v>5</v>
      </c>
      <c r="I214" s="27" t="n">
        <f aca="false">G214*H214</f>
        <v>0.0255102040816327</v>
      </c>
    </row>
    <row r="215" customFormat="false" ht="15" hidden="false" customHeight="false" outlineLevel="0" collapsed="false">
      <c r="A215" s="15" t="s">
        <v>52</v>
      </c>
      <c r="B215" s="15" t="s">
        <v>68</v>
      </c>
      <c r="C215" s="16" t="s">
        <v>327</v>
      </c>
      <c r="D215" s="15" t="s">
        <v>328</v>
      </c>
      <c r="E215" s="18" t="n">
        <v>0.005</v>
      </c>
      <c r="F215" s="29" t="n">
        <f aca="false">IFERROR(INDEX(Insumos!$F$4:$F$168,MATCH($C215,Insumos!$A$4:$A$168,0)),1)</f>
        <v>0.98</v>
      </c>
      <c r="G215" s="30" t="n">
        <f aca="false">IFERROR(E215/F215,0)</f>
        <v>0.00510204081632653</v>
      </c>
      <c r="H215" s="31" t="n">
        <f aca="false">IFERROR(INDEX(Insumos!$G$20:$G$168,MATCH($C215,Insumos!$A$20:$A$168,0)),0)</f>
        <v>105</v>
      </c>
      <c r="I215" s="27" t="n">
        <f aca="false">G215*H215</f>
        <v>0.535714285714286</v>
      </c>
    </row>
    <row r="216" customFormat="false" ht="15" hidden="false" customHeight="false" outlineLevel="0" collapsed="false">
      <c r="A216" s="15" t="s">
        <v>496</v>
      </c>
      <c r="B216" s="15" t="s">
        <v>68</v>
      </c>
      <c r="C216" s="16" t="s">
        <v>165</v>
      </c>
      <c r="D216" s="15" t="s">
        <v>166</v>
      </c>
      <c r="E216" s="18" t="n">
        <v>0.2</v>
      </c>
      <c r="F216" s="29" t="n">
        <f aca="false">IFERROR(INDEX(Insumos!$F$4:$F$168,MATCH($C216,Insumos!$A$4:$A$168,0)),1)</f>
        <v>0.98</v>
      </c>
      <c r="G216" s="30" t="n">
        <f aca="false">IFERROR(E216/F216,0)</f>
        <v>0.204081632653061</v>
      </c>
      <c r="H216" s="31" t="n">
        <f aca="false">IFERROR(INDEX(Insumos!$G$20:$G$168,MATCH($C216,Insumos!$A$20:$A$168,0)),0)</f>
        <v>69.9</v>
      </c>
      <c r="I216" s="27" t="n">
        <f aca="false">G216*H216</f>
        <v>14.265306122449</v>
      </c>
    </row>
    <row r="217" customFormat="false" ht="15" hidden="false" customHeight="false" outlineLevel="0" collapsed="false">
      <c r="A217" s="15" t="s">
        <v>496</v>
      </c>
      <c r="B217" s="15" t="s">
        <v>68</v>
      </c>
      <c r="C217" s="16" t="s">
        <v>403</v>
      </c>
      <c r="D217" s="15" t="s">
        <v>404</v>
      </c>
      <c r="E217" s="18" t="n">
        <v>0.8</v>
      </c>
      <c r="F217" s="29" t="n">
        <f aca="false">IFERROR(INDEX(Insumos!$F$4:$F$168,MATCH($C217,Insumos!$A$4:$A$168,0)),1)</f>
        <v>0.98</v>
      </c>
      <c r="G217" s="30" t="n">
        <f aca="false">IFERROR(E217/F217,0)</f>
        <v>0.816326530612245</v>
      </c>
      <c r="H217" s="31" t="n">
        <f aca="false">IFERROR(INDEX(Insumos!$G$20:$G$168,MATCH($C217,Insumos!$A$20:$A$168,0)),0)</f>
        <v>1.5</v>
      </c>
      <c r="I217" s="27" t="n">
        <f aca="false">G217*H217</f>
        <v>1.22448979591837</v>
      </c>
    </row>
    <row r="218" customFormat="false" ht="15" hidden="false" customHeight="false" outlineLevel="0" collapsed="false">
      <c r="A218" s="15" t="s">
        <v>496</v>
      </c>
      <c r="B218" s="15" t="s">
        <v>68</v>
      </c>
      <c r="C218" s="16" t="s">
        <v>340</v>
      </c>
      <c r="D218" s="15" t="s">
        <v>341</v>
      </c>
      <c r="E218" s="18" t="n">
        <v>0.005</v>
      </c>
      <c r="F218" s="29" t="n">
        <f aca="false">IFERROR(INDEX(Insumos!$F$4:$F$168,MATCH($C218,Insumos!$A$4:$A$168,0)),1)</f>
        <v>0.95</v>
      </c>
      <c r="G218" s="30" t="n">
        <f aca="false">IFERROR(E218/F218,0)</f>
        <v>0.00526315789473684</v>
      </c>
      <c r="H218" s="31" t="n">
        <f aca="false">IFERROR(INDEX(Insumos!$G$20:$G$168,MATCH($C218,Insumos!$A$20:$A$168,0)),0)</f>
        <v>25.16</v>
      </c>
      <c r="I218" s="27" t="n">
        <f aca="false">G218*H218</f>
        <v>0.132421052631579</v>
      </c>
    </row>
    <row r="219" customFormat="false" ht="15" hidden="false" customHeight="false" outlineLevel="0" collapsed="false">
      <c r="A219" s="15" t="s">
        <v>496</v>
      </c>
      <c r="B219" s="15" t="s">
        <v>68</v>
      </c>
      <c r="C219" s="16" t="s">
        <v>366</v>
      </c>
      <c r="D219" s="15" t="s">
        <v>367</v>
      </c>
      <c r="E219" s="18" t="n">
        <v>0.01</v>
      </c>
      <c r="F219" s="29" t="n">
        <f aca="false">IFERROR(INDEX(Insumos!$F$4:$F$168,MATCH($C219,Insumos!$A$4:$A$168,0)),1)</f>
        <v>0.98</v>
      </c>
      <c r="G219" s="30" t="n">
        <f aca="false">IFERROR(E219/F219,0)</f>
        <v>0.0102040816326531</v>
      </c>
      <c r="H219" s="31" t="n">
        <f aca="false">IFERROR(INDEX(Insumos!$G$20:$G$168,MATCH($C219,Insumos!$A$20:$A$168,0)),0)</f>
        <v>5</v>
      </c>
      <c r="I219" s="27" t="n">
        <f aca="false">G219*H219</f>
        <v>0.0510204081632653</v>
      </c>
    </row>
    <row r="220" customFormat="false" ht="15" hidden="false" customHeight="false" outlineLevel="0" collapsed="false">
      <c r="A220" s="15" t="s">
        <v>496</v>
      </c>
      <c r="B220" s="15" t="s">
        <v>68</v>
      </c>
      <c r="C220" s="16" t="s">
        <v>327</v>
      </c>
      <c r="D220" s="15" t="s">
        <v>328</v>
      </c>
      <c r="E220" s="18" t="n">
        <v>0.005</v>
      </c>
      <c r="F220" s="29" t="n">
        <f aca="false">IFERROR(INDEX(Insumos!$F$4:$F$168,MATCH($C220,Insumos!$A$4:$A$168,0)),1)</f>
        <v>0.98</v>
      </c>
      <c r="G220" s="30" t="n">
        <f aca="false">IFERROR(E220/F220,0)</f>
        <v>0.00510204081632653</v>
      </c>
      <c r="H220" s="31" t="n">
        <f aca="false">IFERROR(INDEX(Insumos!$G$20:$G$168,MATCH($C220,Insumos!$A$20:$A$168,0)),0)</f>
        <v>105</v>
      </c>
      <c r="I220" s="27" t="n">
        <f aca="false">G220*H220</f>
        <v>0.535714285714286</v>
      </c>
    </row>
    <row r="221" customFormat="false" ht="15" hidden="false" customHeight="false" outlineLevel="0" collapsed="false">
      <c r="A221" s="15" t="s">
        <v>496</v>
      </c>
      <c r="B221" s="15" t="s">
        <v>68</v>
      </c>
      <c r="C221" s="16" t="s">
        <v>118</v>
      </c>
      <c r="D221" s="15" t="s">
        <v>119</v>
      </c>
      <c r="E221" s="18" t="n">
        <v>0.05</v>
      </c>
      <c r="F221" s="29" t="n">
        <f aca="false">IFERROR(INDEX(Insumos!$F$4:$F$168,MATCH($C221,Insumos!$A$4:$A$168,0)),1)</f>
        <v>0.95</v>
      </c>
      <c r="G221" s="30" t="n">
        <f aca="false">IFERROR(E221/F221,0)</f>
        <v>0.0526315789473684</v>
      </c>
      <c r="H221" s="31" t="n">
        <f aca="false">IFERROR(INDEX(Insumos!$G$20:$G$168,MATCH($C221,Insumos!$A$20:$A$168,0)),0)</f>
        <v>20</v>
      </c>
      <c r="I221" s="27" t="n">
        <f aca="false">G221*H221</f>
        <v>1.05263157894737</v>
      </c>
    </row>
    <row r="222" customFormat="false" ht="15" hidden="false" customHeight="false" outlineLevel="0" collapsed="false">
      <c r="A222" s="15" t="s">
        <v>497</v>
      </c>
      <c r="B222" s="15" t="s">
        <v>68</v>
      </c>
      <c r="C222" s="16" t="s">
        <v>56</v>
      </c>
      <c r="D222" s="15" t="s">
        <v>57</v>
      </c>
      <c r="E222" s="18" t="n">
        <v>0.35</v>
      </c>
      <c r="F222" s="29" t="n">
        <f aca="false">IFERROR(INDEX(Insumos!$F$4:$F$168,MATCH($C222,Insumos!$A$4:$A$168,0)),1)</f>
        <v>1</v>
      </c>
      <c r="G222" s="30" t="n">
        <f aca="false">IFERROR(E222/F222,0)</f>
        <v>0.35</v>
      </c>
      <c r="H222" s="31" t="n">
        <f aca="false">Insumos!$G$7</f>
        <v>34.8859116222301</v>
      </c>
      <c r="I222" s="27" t="n">
        <f aca="false">G222*H222</f>
        <v>12.2100690677805</v>
      </c>
    </row>
    <row r="223" customFormat="false" ht="15" hidden="false" customHeight="false" outlineLevel="0" collapsed="false">
      <c r="A223" s="15" t="s">
        <v>497</v>
      </c>
      <c r="B223" s="15" t="s">
        <v>68</v>
      </c>
      <c r="C223" s="16" t="s">
        <v>171</v>
      </c>
      <c r="D223" s="15" t="s">
        <v>172</v>
      </c>
      <c r="E223" s="18" t="n">
        <v>0.15</v>
      </c>
      <c r="F223" s="29" t="n">
        <f aca="false">IFERROR(INDEX(Insumos!$F$4:$F$168,MATCH($C223,Insumos!$A$4:$A$168,0)),1)</f>
        <v>0.98</v>
      </c>
      <c r="G223" s="30" t="n">
        <f aca="false">IFERROR(E223/F223,0)</f>
        <v>0.153061224489796</v>
      </c>
      <c r="H223" s="31" t="n">
        <f aca="false">IFERROR(INDEX(Insumos!$G$20:$G$168,MATCH($C223,Insumos!$A$20:$A$168,0)),0)</f>
        <v>7.9</v>
      </c>
      <c r="I223" s="27" t="n">
        <f aca="false">G223*H223</f>
        <v>1.20918367346939</v>
      </c>
    </row>
    <row r="224" customFormat="false" ht="15" hidden="false" customHeight="false" outlineLevel="0" collapsed="false">
      <c r="A224" s="15" t="s">
        <v>497</v>
      </c>
      <c r="B224" s="15" t="s">
        <v>68</v>
      </c>
      <c r="C224" s="16" t="s">
        <v>67</v>
      </c>
      <c r="D224" s="15" t="s">
        <v>68</v>
      </c>
      <c r="E224" s="18" t="n">
        <v>0.5</v>
      </c>
      <c r="F224" s="29" t="n">
        <f aca="false">IFERROR(INDEX(Insumos!$F$4:$F$168,MATCH($C224,Insumos!$A$4:$A$168,0)),1)</f>
        <v>1</v>
      </c>
      <c r="G224" s="30" t="n">
        <f aca="false">IFERROR(E224/F224,0)</f>
        <v>0.5</v>
      </c>
      <c r="H224" s="31" t="n">
        <f aca="false">Insumos!$G$12</f>
        <v>14.050144575725</v>
      </c>
      <c r="I224" s="27" t="n">
        <f aca="false">G224*H224</f>
        <v>7.02507228786251</v>
      </c>
    </row>
    <row r="225" customFormat="false" ht="15" hidden="false" customHeight="false" outlineLevel="0" collapsed="false">
      <c r="A225" s="15" t="s">
        <v>497</v>
      </c>
      <c r="B225" s="15" t="s">
        <v>68</v>
      </c>
      <c r="C225" s="16" t="s">
        <v>52</v>
      </c>
      <c r="D225" s="15" t="s">
        <v>53</v>
      </c>
      <c r="E225" s="18" t="n">
        <v>0.5</v>
      </c>
      <c r="F225" s="29" t="n">
        <f aca="false">IFERROR(INDEX(Insumos!$F$4:$F$168,MATCH($C225,Insumos!$A$4:$A$168,0)),1)</f>
        <v>1</v>
      </c>
      <c r="G225" s="30" t="n">
        <f aca="false">IFERROR(E225/F225,0)</f>
        <v>0.5</v>
      </c>
      <c r="H225" s="31" t="n">
        <f aca="false">Insumos!$G$5</f>
        <v>14.6668244897959</v>
      </c>
      <c r="I225" s="27" t="n">
        <f aca="false">G225*H225</f>
        <v>7.33341224489796</v>
      </c>
    </row>
    <row r="226" customFormat="false" ht="15" hidden="false" customHeight="false" outlineLevel="0" collapsed="false">
      <c r="A226" s="15" t="s">
        <v>498</v>
      </c>
      <c r="B226" s="15" t="s">
        <v>70</v>
      </c>
      <c r="C226" s="16" t="s">
        <v>212</v>
      </c>
      <c r="D226" s="15" t="s">
        <v>213</v>
      </c>
      <c r="E226" s="18" t="n">
        <v>0.32</v>
      </c>
      <c r="F226" s="29" t="n">
        <f aca="false">IFERROR(INDEX(Insumos!$F$4:$F$168,MATCH($C226,Insumos!$A$4:$A$168,0)),1)</f>
        <v>0.98</v>
      </c>
      <c r="G226" s="30" t="n">
        <f aca="false">IFERROR(E226/F226,0)</f>
        <v>0.326530612244898</v>
      </c>
      <c r="H226" s="31" t="n">
        <f aca="false">IFERROR(INDEX(Insumos!$G$20:$G$168,MATCH($C226,Insumos!$A$20:$A$168,0)),0)</f>
        <v>9.5</v>
      </c>
      <c r="I226" s="27" t="n">
        <f aca="false">G226*H226</f>
        <v>3.10204081632653</v>
      </c>
    </row>
    <row r="227" customFormat="false" ht="15" hidden="false" customHeight="false" outlineLevel="0" collapsed="false">
      <c r="A227" s="15" t="s">
        <v>498</v>
      </c>
      <c r="B227" s="15" t="s">
        <v>70</v>
      </c>
      <c r="C227" s="16" t="s">
        <v>344</v>
      </c>
      <c r="D227" s="15" t="s">
        <v>345</v>
      </c>
      <c r="E227" s="18" t="n">
        <v>0.3</v>
      </c>
      <c r="F227" s="29" t="n">
        <f aca="false">IFERROR(INDEX(Insumos!$F$4:$F$168,MATCH($C227,Insumos!$A$4:$A$168,0)),1)</f>
        <v>0.98</v>
      </c>
      <c r="G227" s="30" t="n">
        <f aca="false">IFERROR(E227/F227,0)</f>
        <v>0.306122448979592</v>
      </c>
      <c r="H227" s="31" t="n">
        <f aca="false">IFERROR(INDEX(Insumos!$G$20:$G$168,MATCH($C227,Insumos!$A$20:$A$168,0)),0)</f>
        <v>12</v>
      </c>
      <c r="I227" s="27" t="n">
        <f aca="false">G227*H227</f>
        <v>3.6734693877551</v>
      </c>
    </row>
    <row r="228" customFormat="false" ht="15" hidden="false" customHeight="false" outlineLevel="0" collapsed="false">
      <c r="A228" s="15" t="s">
        <v>498</v>
      </c>
      <c r="B228" s="15" t="s">
        <v>70</v>
      </c>
      <c r="C228" s="16" t="s">
        <v>284</v>
      </c>
      <c r="D228" s="15" t="s">
        <v>285</v>
      </c>
      <c r="E228" s="18" t="n">
        <v>0.14</v>
      </c>
      <c r="F228" s="29" t="n">
        <f aca="false">IFERROR(INDEX(Insumos!$F$4:$F$168,MATCH($C228,Insumos!$A$4:$A$168,0)),1)</f>
        <v>0.98</v>
      </c>
      <c r="G228" s="30" t="n">
        <f aca="false">IFERROR(E228/F228,0)</f>
        <v>0.142857142857143</v>
      </c>
      <c r="H228" s="31" t="n">
        <f aca="false">IFERROR(INDEX(Insumos!$G$20:$G$168,MATCH($C228,Insumos!$A$20:$A$168,0)),0)</f>
        <v>28.75</v>
      </c>
      <c r="I228" s="27" t="n">
        <f aca="false">G228*H228</f>
        <v>4.10714285714286</v>
      </c>
    </row>
    <row r="229" customFormat="false" ht="15" hidden="false" customHeight="false" outlineLevel="0" collapsed="false">
      <c r="A229" s="15" t="s">
        <v>498</v>
      </c>
      <c r="B229" s="15" t="s">
        <v>70</v>
      </c>
      <c r="C229" s="16" t="s">
        <v>349</v>
      </c>
      <c r="D229" s="15" t="s">
        <v>350</v>
      </c>
      <c r="E229" s="18" t="n">
        <v>0.032</v>
      </c>
      <c r="F229" s="29" t="n">
        <f aca="false">IFERROR(INDEX(Insumos!$F$4:$F$168,MATCH($C229,Insumos!$A$4:$A$168,0)),1)</f>
        <v>0.98</v>
      </c>
      <c r="G229" s="30" t="n">
        <f aca="false">IFERROR(E229/F229,0)</f>
        <v>0.0326530612244898</v>
      </c>
      <c r="H229" s="31" t="n">
        <f aca="false">IFERROR(INDEX(Insumos!$G$20:$G$168,MATCH($C229,Insumos!$A$20:$A$168,0)),0)</f>
        <v>54.4</v>
      </c>
      <c r="I229" s="27" t="n">
        <f aca="false">G229*H229</f>
        <v>1.77632653061225</v>
      </c>
    </row>
    <row r="230" customFormat="false" ht="15" hidden="false" customHeight="false" outlineLevel="0" collapsed="false">
      <c r="A230" s="15" t="s">
        <v>498</v>
      </c>
      <c r="B230" s="15" t="s">
        <v>70</v>
      </c>
      <c r="C230" s="16" t="s">
        <v>121</v>
      </c>
      <c r="D230" s="15" t="s">
        <v>122</v>
      </c>
      <c r="E230" s="18" t="n">
        <v>0.032</v>
      </c>
      <c r="F230" s="29" t="n">
        <f aca="false">IFERROR(INDEX(Insumos!$F$4:$F$168,MATCH($C230,Insumos!$A$4:$A$168,0)),1)</f>
        <v>0.98</v>
      </c>
      <c r="G230" s="30" t="n">
        <f aca="false">IFERROR(E230/F230,0)</f>
        <v>0.0326530612244898</v>
      </c>
      <c r="H230" s="31" t="n">
        <f aca="false">IFERROR(INDEX(Insumos!$G$20:$G$168,MATCH($C230,Insumos!$A$20:$A$168,0)),0)</f>
        <v>6</v>
      </c>
      <c r="I230" s="27" t="n">
        <f aca="false">G230*H230</f>
        <v>0.195918367346939</v>
      </c>
    </row>
    <row r="231" customFormat="false" ht="15" hidden="false" customHeight="false" outlineLevel="0" collapsed="false">
      <c r="A231" s="15" t="s">
        <v>498</v>
      </c>
      <c r="B231" s="15" t="s">
        <v>70</v>
      </c>
      <c r="C231" s="16" t="s">
        <v>256</v>
      </c>
      <c r="D231" s="15" t="s">
        <v>257</v>
      </c>
      <c r="E231" s="18" t="n">
        <v>0.008</v>
      </c>
      <c r="F231" s="29" t="n">
        <f aca="false">IFERROR(INDEX(Insumos!$F$4:$F$168,MATCH($C231,Insumos!$A$4:$A$168,0)),1)</f>
        <v>0.98</v>
      </c>
      <c r="G231" s="30" t="n">
        <f aca="false">IFERROR(E231/F231,0)</f>
        <v>0.00816326530612245</v>
      </c>
      <c r="H231" s="31" t="n">
        <f aca="false">IFERROR(INDEX(Insumos!$G$20:$G$168,MATCH($C231,Insumos!$A$20:$A$168,0)),0)</f>
        <v>36.86</v>
      </c>
      <c r="I231" s="27" t="n">
        <f aca="false">G231*H231</f>
        <v>0.300897959183674</v>
      </c>
    </row>
    <row r="232" customFormat="false" ht="15" hidden="false" customHeight="false" outlineLevel="0" collapsed="false">
      <c r="A232" s="15" t="s">
        <v>498</v>
      </c>
      <c r="B232" s="15" t="s">
        <v>70</v>
      </c>
      <c r="C232" s="16" t="s">
        <v>225</v>
      </c>
      <c r="D232" s="15" t="s">
        <v>226</v>
      </c>
      <c r="E232" s="18" t="n">
        <v>0.008</v>
      </c>
      <c r="F232" s="29" t="n">
        <f aca="false">IFERROR(INDEX(Insumos!$F$4:$F$168,MATCH($C232,Insumos!$A$4:$A$168,0)),1)</f>
        <v>0.98</v>
      </c>
      <c r="G232" s="30" t="n">
        <f aca="false">IFERROR(E232/F232,0)</f>
        <v>0.00816326530612245</v>
      </c>
      <c r="H232" s="31" t="n">
        <f aca="false">IFERROR(INDEX(Insumos!$G$20:$G$168,MATCH($C232,Insumos!$A$20:$A$168,0)),0)</f>
        <v>14.9</v>
      </c>
      <c r="I232" s="27" t="n">
        <f aca="false">G232*H232</f>
        <v>0.121632653061225</v>
      </c>
    </row>
    <row r="233" customFormat="false" ht="15" hidden="false" customHeight="false" outlineLevel="0" collapsed="false">
      <c r="A233" s="15" t="s">
        <v>498</v>
      </c>
      <c r="B233" s="15" t="s">
        <v>70</v>
      </c>
      <c r="C233" s="16" t="s">
        <v>366</v>
      </c>
      <c r="D233" s="15" t="s">
        <v>367</v>
      </c>
      <c r="E233" s="18" t="n">
        <v>0.012</v>
      </c>
      <c r="F233" s="29" t="n">
        <f aca="false">IFERROR(INDEX(Insumos!$F$4:$F$168,MATCH($C233,Insumos!$A$4:$A$168,0)),1)</f>
        <v>0.98</v>
      </c>
      <c r="G233" s="30" t="n">
        <f aca="false">IFERROR(E233/F233,0)</f>
        <v>0.0122448979591837</v>
      </c>
      <c r="H233" s="31" t="n">
        <f aca="false">IFERROR(INDEX(Insumos!$G$20:$G$168,MATCH($C233,Insumos!$A$20:$A$168,0)),0)</f>
        <v>5</v>
      </c>
      <c r="I233" s="27" t="n">
        <f aca="false">G233*H233</f>
        <v>0.0612244897959184</v>
      </c>
    </row>
    <row r="234" customFormat="false" ht="15" hidden="false" customHeight="false" outlineLevel="0" collapsed="false">
      <c r="A234" s="15" t="s">
        <v>498</v>
      </c>
      <c r="B234" s="15" t="s">
        <v>70</v>
      </c>
      <c r="C234" s="16" t="s">
        <v>336</v>
      </c>
      <c r="D234" s="15" t="s">
        <v>337</v>
      </c>
      <c r="E234" s="18" t="n">
        <v>0.2</v>
      </c>
      <c r="F234" s="29" t="n">
        <f aca="false">IFERROR(INDEX(Insumos!$F$4:$F$168,MATCH($C234,Insumos!$A$4:$A$168,0)),1)</f>
        <v>1</v>
      </c>
      <c r="G234" s="30" t="n">
        <f aca="false">IFERROR(E234/F234,0)</f>
        <v>0.2</v>
      </c>
      <c r="H234" s="31" t="n">
        <f aca="false">IFERROR(INDEX(Insumos!$G$20:$G$168,MATCH($C234,Insumos!$A$20:$A$168,0)),0)</f>
        <v>15</v>
      </c>
      <c r="I234" s="27" t="n">
        <f aca="false">G234*H234</f>
        <v>3</v>
      </c>
    </row>
    <row r="235" customFormat="false" ht="15" hidden="false" customHeight="false" outlineLevel="0" collapsed="false">
      <c r="A235" s="15" t="s">
        <v>498</v>
      </c>
      <c r="B235" s="15" t="s">
        <v>70</v>
      </c>
      <c r="C235" s="16" t="s">
        <v>118</v>
      </c>
      <c r="D235" s="15" t="s">
        <v>119</v>
      </c>
      <c r="E235" s="18" t="n">
        <v>0.04</v>
      </c>
      <c r="F235" s="29" t="n">
        <f aca="false">IFERROR(INDEX(Insumos!$F$4:$F$168,MATCH($C235,Insumos!$A$4:$A$168,0)),1)</f>
        <v>0.95</v>
      </c>
      <c r="G235" s="30" t="n">
        <f aca="false">IFERROR(E235/F235,0)</f>
        <v>0.0421052631578947</v>
      </c>
      <c r="H235" s="31" t="n">
        <f aca="false">IFERROR(INDEX(Insumos!$G$20:$G$168,MATCH($C235,Insumos!$A$20:$A$168,0)),0)</f>
        <v>20</v>
      </c>
      <c r="I235" s="27" t="n">
        <f aca="false">G235*H235</f>
        <v>0.842105263157895</v>
      </c>
    </row>
    <row r="236" customFormat="false" ht="15" hidden="false" customHeight="false" outlineLevel="0" collapsed="false">
      <c r="A236" s="15" t="s">
        <v>498</v>
      </c>
      <c r="B236" s="15" t="s">
        <v>70</v>
      </c>
      <c r="C236" s="16" t="s">
        <v>397</v>
      </c>
      <c r="D236" s="15" t="s">
        <v>398</v>
      </c>
      <c r="E236" s="18" t="n">
        <v>0.02</v>
      </c>
      <c r="F236" s="29" t="n">
        <f aca="false">IFERROR(INDEX(Insumos!$F$4:$F$168,MATCH($C236,Insumos!$A$4:$A$168,0)),1)</f>
        <v>1</v>
      </c>
      <c r="G236" s="30" t="n">
        <f aca="false">IFERROR(E236/F236,0)</f>
        <v>0.02</v>
      </c>
      <c r="H236" s="31" t="n">
        <f aca="false">IFERROR(INDEX(Insumos!$G$20:$G$168,MATCH($C236,Insumos!$A$20:$A$168,0)),0)</f>
        <v>37.55</v>
      </c>
      <c r="I236" s="27" t="n">
        <f aca="false">G236*H236</f>
        <v>0.751</v>
      </c>
    </row>
    <row r="237" customFormat="false" ht="15" hidden="false" customHeight="false" outlineLevel="0" collapsed="false">
      <c r="A237" s="15" t="s">
        <v>498</v>
      </c>
      <c r="B237" s="15" t="s">
        <v>70</v>
      </c>
      <c r="C237" s="16" t="s">
        <v>403</v>
      </c>
      <c r="D237" s="15" t="s">
        <v>404</v>
      </c>
      <c r="E237" s="18" t="n">
        <v>0.25</v>
      </c>
      <c r="F237" s="29" t="n">
        <f aca="false">IFERROR(INDEX(Insumos!$F$4:$F$168,MATCH($C237,Insumos!$A$4:$A$168,0)),1)</f>
        <v>0.98</v>
      </c>
      <c r="G237" s="30" t="n">
        <f aca="false">IFERROR(E237/F237,0)</f>
        <v>0.255102040816327</v>
      </c>
      <c r="H237" s="31" t="n">
        <f aca="false">IFERROR(INDEX(Insumos!$G$20:$G$168,MATCH($C237,Insumos!$A$20:$A$168,0)),0)</f>
        <v>1.5</v>
      </c>
      <c r="I237" s="27" t="n">
        <f aca="false">G237*H237</f>
        <v>0.38265306122449</v>
      </c>
    </row>
    <row r="238" customFormat="false" ht="15" hidden="false" customHeight="false" outlineLevel="0" collapsed="false">
      <c r="A238" s="15" t="s">
        <v>499</v>
      </c>
      <c r="B238" s="15" t="s">
        <v>500</v>
      </c>
      <c r="C238" s="16" t="s">
        <v>403</v>
      </c>
      <c r="D238" s="15" t="s">
        <v>404</v>
      </c>
      <c r="E238" s="18" t="n">
        <v>0.1</v>
      </c>
      <c r="F238" s="29" t="n">
        <f aca="false">IFERROR(INDEX(Insumos!$F$4:$F$168,MATCH($C238,Insumos!$A$4:$A$168,0)),1)</f>
        <v>0.98</v>
      </c>
      <c r="G238" s="30" t="n">
        <f aca="false">IFERROR(E238/F238,0)</f>
        <v>0.102040816326531</v>
      </c>
      <c r="H238" s="31" t="n">
        <f aca="false">IFERROR(INDEX(Insumos!$G$20:$G$168,MATCH($C238,Insumos!$A$20:$A$168,0)),0)</f>
        <v>1.5</v>
      </c>
      <c r="I238" s="27" t="n">
        <f aca="false">G238*H238</f>
        <v>0.153061224489796</v>
      </c>
    </row>
    <row r="239" customFormat="false" ht="15" hidden="false" customHeight="false" outlineLevel="0" collapsed="false">
      <c r="A239" s="15" t="s">
        <v>499</v>
      </c>
      <c r="B239" s="15" t="s">
        <v>500</v>
      </c>
      <c r="C239" s="16" t="s">
        <v>288</v>
      </c>
      <c r="D239" s="15" t="s">
        <v>289</v>
      </c>
      <c r="E239" s="18" t="n">
        <v>0.4</v>
      </c>
      <c r="F239" s="29" t="n">
        <f aca="false">IFERROR(INDEX(Insumos!$F$4:$F$168,MATCH($C239,Insumos!$A$4:$A$168,0)),1)</f>
        <v>0.98</v>
      </c>
      <c r="G239" s="30" t="n">
        <f aca="false">IFERROR(E239/F239,0)</f>
        <v>0.408163265306122</v>
      </c>
      <c r="H239" s="31" t="n">
        <f aca="false">IFERROR(INDEX(Insumos!$G$20:$G$168,MATCH($C239,Insumos!$A$20:$A$168,0)),0)</f>
        <v>7.5</v>
      </c>
      <c r="I239" s="27" t="n">
        <f aca="false">G239*H239</f>
        <v>3.06122448979592</v>
      </c>
    </row>
    <row r="240" customFormat="false" ht="15" hidden="false" customHeight="false" outlineLevel="0" collapsed="false">
      <c r="A240" s="15" t="s">
        <v>499</v>
      </c>
      <c r="B240" s="15" t="s">
        <v>500</v>
      </c>
      <c r="C240" s="16" t="s">
        <v>225</v>
      </c>
      <c r="D240" s="15" t="s">
        <v>226</v>
      </c>
      <c r="E240" s="18" t="n">
        <v>0.01</v>
      </c>
      <c r="F240" s="29" t="n">
        <f aca="false">IFERROR(INDEX(Insumos!$F$4:$F$168,MATCH($C240,Insumos!$A$4:$A$168,0)),1)</f>
        <v>0.98</v>
      </c>
      <c r="G240" s="30" t="n">
        <f aca="false">IFERROR(E240/F240,0)</f>
        <v>0.0102040816326531</v>
      </c>
      <c r="H240" s="31" t="n">
        <f aca="false">IFERROR(INDEX(Insumos!$G$20:$G$168,MATCH($C240,Insumos!$A$20:$A$168,0)),0)</f>
        <v>14.9</v>
      </c>
      <c r="I240" s="27" t="n">
        <f aca="false">G240*H240</f>
        <v>0.152040816326531</v>
      </c>
    </row>
    <row r="241" customFormat="false" ht="15" hidden="false" customHeight="false" outlineLevel="0" collapsed="false">
      <c r="A241" s="15" t="s">
        <v>499</v>
      </c>
      <c r="B241" s="15" t="s">
        <v>500</v>
      </c>
      <c r="C241" s="16" t="s">
        <v>366</v>
      </c>
      <c r="D241" s="15" t="s">
        <v>367</v>
      </c>
      <c r="E241" s="18" t="n">
        <v>0.005</v>
      </c>
      <c r="F241" s="29" t="n">
        <f aca="false">IFERROR(INDEX(Insumos!$F$4:$F$168,MATCH($C241,Insumos!$A$4:$A$168,0)),1)</f>
        <v>0.98</v>
      </c>
      <c r="G241" s="30" t="n">
        <f aca="false">IFERROR(E241/F241,0)</f>
        <v>0.00510204081632653</v>
      </c>
      <c r="H241" s="31" t="n">
        <f aca="false">IFERROR(INDEX(Insumos!$G$20:$G$168,MATCH($C241,Insumos!$A$20:$A$168,0)),0)</f>
        <v>5</v>
      </c>
      <c r="I241" s="27" t="n">
        <f aca="false">G241*H241</f>
        <v>0.0255102040816327</v>
      </c>
    </row>
    <row r="242" customFormat="false" ht="15" hidden="false" customHeight="false" outlineLevel="0" collapsed="false">
      <c r="A242" s="15" t="s">
        <v>499</v>
      </c>
      <c r="B242" s="15" t="s">
        <v>500</v>
      </c>
      <c r="C242" s="16" t="s">
        <v>118</v>
      </c>
      <c r="D242" s="15" t="s">
        <v>119</v>
      </c>
      <c r="E242" s="18" t="n">
        <v>0.02</v>
      </c>
      <c r="F242" s="29" t="n">
        <f aca="false">IFERROR(INDEX(Insumos!$F$4:$F$168,MATCH($C242,Insumos!$A$4:$A$168,0)),1)</f>
        <v>0.95</v>
      </c>
      <c r="G242" s="30" t="n">
        <f aca="false">IFERROR(E242/F242,0)</f>
        <v>0.0210526315789474</v>
      </c>
      <c r="H242" s="31" t="n">
        <f aca="false">IFERROR(INDEX(Insumos!$G$20:$G$168,MATCH($C242,Insumos!$A$20:$A$168,0)),0)</f>
        <v>20</v>
      </c>
      <c r="I242" s="27" t="n">
        <f aca="false">G242*H242</f>
        <v>0.421052631578947</v>
      </c>
    </row>
    <row r="243" customFormat="false" ht="15" hidden="false" customHeight="false" outlineLevel="0" collapsed="false">
      <c r="A243" s="15" t="s">
        <v>501</v>
      </c>
      <c r="B243" s="15" t="s">
        <v>72</v>
      </c>
      <c r="C243" s="16" t="s">
        <v>247</v>
      </c>
      <c r="D243" s="15" t="s">
        <v>248</v>
      </c>
      <c r="E243" s="18" t="n">
        <v>0.15</v>
      </c>
      <c r="F243" s="29" t="n">
        <f aca="false">IFERROR(INDEX(Insumos!$F$4:$F$168,MATCH($C243,Insumos!$A$4:$A$168,0)),1)</f>
        <v>0.98</v>
      </c>
      <c r="G243" s="30" t="n">
        <f aca="false">IFERROR(E243/F243,0)</f>
        <v>0.153061224489796</v>
      </c>
      <c r="H243" s="31" t="n">
        <f aca="false">IFERROR(INDEX(Insumos!$G$20:$G$168,MATCH($C243,Insumos!$A$20:$A$168,0)),0)</f>
        <v>48.85</v>
      </c>
      <c r="I243" s="27" t="n">
        <f aca="false">G243*H243</f>
        <v>7.47704081632653</v>
      </c>
    </row>
    <row r="244" customFormat="false" ht="15" hidden="false" customHeight="false" outlineLevel="0" collapsed="false">
      <c r="A244" s="15" t="s">
        <v>501</v>
      </c>
      <c r="B244" s="15" t="s">
        <v>72</v>
      </c>
      <c r="C244" s="16" t="s">
        <v>284</v>
      </c>
      <c r="D244" s="15" t="s">
        <v>285</v>
      </c>
      <c r="E244" s="18" t="n">
        <v>0.2</v>
      </c>
      <c r="F244" s="29" t="n">
        <f aca="false">IFERROR(INDEX(Insumos!$F$4:$F$168,MATCH($C244,Insumos!$A$4:$A$168,0)),1)</f>
        <v>0.98</v>
      </c>
      <c r="G244" s="30" t="n">
        <f aca="false">IFERROR(E244/F244,0)</f>
        <v>0.204081632653061</v>
      </c>
      <c r="H244" s="31" t="n">
        <f aca="false">IFERROR(INDEX(Insumos!$G$20:$G$168,MATCH($C244,Insumos!$A$20:$A$168,0)),0)</f>
        <v>28.75</v>
      </c>
      <c r="I244" s="27" t="n">
        <f aca="false">G244*H244</f>
        <v>5.86734693877551</v>
      </c>
    </row>
    <row r="245" customFormat="false" ht="15" hidden="false" customHeight="false" outlineLevel="0" collapsed="false">
      <c r="A245" s="15" t="s">
        <v>501</v>
      </c>
      <c r="B245" s="15" t="s">
        <v>72</v>
      </c>
      <c r="C245" s="16" t="s">
        <v>374</v>
      </c>
      <c r="D245" s="15" t="s">
        <v>375</v>
      </c>
      <c r="E245" s="18" t="n">
        <v>0.2</v>
      </c>
      <c r="F245" s="29" t="n">
        <f aca="false">IFERROR(INDEX(Insumos!$F$4:$F$168,MATCH($C245,Insumos!$A$4:$A$168,0)),1)</f>
        <v>0.98</v>
      </c>
      <c r="G245" s="30" t="n">
        <f aca="false">IFERROR(E245/F245,0)</f>
        <v>0.204081632653061</v>
      </c>
      <c r="H245" s="31" t="n">
        <f aca="false">IFERROR(INDEX(Insumos!$G$20:$G$168,MATCH($C245,Insumos!$A$20:$A$168,0)),0)</f>
        <v>78.9</v>
      </c>
      <c r="I245" s="27" t="n">
        <f aca="false">G245*H245</f>
        <v>16.1020408163265</v>
      </c>
    </row>
    <row r="246" customFormat="false" ht="15" hidden="false" customHeight="false" outlineLevel="0" collapsed="false">
      <c r="A246" s="15" t="s">
        <v>501</v>
      </c>
      <c r="B246" s="15" t="s">
        <v>72</v>
      </c>
      <c r="C246" s="16" t="s">
        <v>376</v>
      </c>
      <c r="D246" s="15" t="s">
        <v>377</v>
      </c>
      <c r="E246" s="18" t="n">
        <v>0.25</v>
      </c>
      <c r="F246" s="29" t="n">
        <f aca="false">IFERROR(INDEX(Insumos!$F$4:$F$168,MATCH($C246,Insumos!$A$4:$A$168,0)),1)</f>
        <v>0.98</v>
      </c>
      <c r="G246" s="30" t="n">
        <f aca="false">IFERROR(E246/F246,0)</f>
        <v>0.255102040816327</v>
      </c>
      <c r="H246" s="31" t="n">
        <f aca="false">IFERROR(INDEX(Insumos!$G$20:$G$168,MATCH($C246,Insumos!$A$20:$A$168,0)),0)</f>
        <v>34.06</v>
      </c>
      <c r="I246" s="27" t="n">
        <f aca="false">G246*H246</f>
        <v>8.68877551020408</v>
      </c>
    </row>
    <row r="247" customFormat="false" ht="15" hidden="false" customHeight="false" outlineLevel="0" collapsed="false">
      <c r="A247" s="15" t="s">
        <v>501</v>
      </c>
      <c r="B247" s="15" t="s">
        <v>72</v>
      </c>
      <c r="C247" s="16" t="s">
        <v>249</v>
      </c>
      <c r="D247" s="15" t="s">
        <v>250</v>
      </c>
      <c r="E247" s="18" t="n">
        <v>0.1</v>
      </c>
      <c r="F247" s="29" t="n">
        <f aca="false">IFERROR(INDEX(Insumos!$F$4:$F$168,MATCH($C247,Insumos!$A$4:$A$168,0)),1)</f>
        <v>0.98</v>
      </c>
      <c r="G247" s="30" t="n">
        <f aca="false">IFERROR(E247/F247,0)</f>
        <v>0.102040816326531</v>
      </c>
      <c r="H247" s="31" t="n">
        <f aca="false">IFERROR(INDEX(Insumos!$G$20:$G$168,MATCH($C247,Insumos!$A$20:$A$168,0)),0)</f>
        <v>41.42</v>
      </c>
      <c r="I247" s="27" t="n">
        <f aca="false">G247*H247</f>
        <v>4.2265306122449</v>
      </c>
    </row>
    <row r="248" customFormat="false" ht="15" hidden="false" customHeight="false" outlineLevel="0" collapsed="false">
      <c r="A248" s="15" t="s">
        <v>501</v>
      </c>
      <c r="B248" s="15" t="s">
        <v>72</v>
      </c>
      <c r="C248" s="16" t="s">
        <v>173</v>
      </c>
      <c r="D248" s="15" t="s">
        <v>174</v>
      </c>
      <c r="E248" s="18" t="n">
        <v>0.1</v>
      </c>
      <c r="F248" s="29" t="n">
        <f aca="false">IFERROR(INDEX(Insumos!$F$4:$F$168,MATCH($C248,Insumos!$A$4:$A$168,0)),1)</f>
        <v>0.98</v>
      </c>
      <c r="G248" s="30" t="n">
        <f aca="false">IFERROR(E248/F248,0)</f>
        <v>0.102040816326531</v>
      </c>
      <c r="H248" s="31" t="n">
        <f aca="false">IFERROR(INDEX(Insumos!$G$20:$G$168,MATCH($C248,Insumos!$A$20:$A$168,0)),0)</f>
        <v>34.89</v>
      </c>
      <c r="I248" s="27" t="n">
        <f aca="false">G248*H248</f>
        <v>3.56020408163265</v>
      </c>
    </row>
    <row r="249" customFormat="false" ht="15" hidden="false" customHeight="false" outlineLevel="0" collapsed="false">
      <c r="A249" s="15" t="s">
        <v>502</v>
      </c>
      <c r="B249" s="15" t="s">
        <v>503</v>
      </c>
      <c r="C249" s="16" t="s">
        <v>210</v>
      </c>
      <c r="D249" s="15" t="s">
        <v>211</v>
      </c>
      <c r="E249" s="18" t="n">
        <v>0.538</v>
      </c>
      <c r="F249" s="29" t="n">
        <f aca="false">IFERROR(INDEX(Insumos!$F$4:$F$168,MATCH($C249,Insumos!$A$4:$A$168,0)),1)</f>
        <v>0.98</v>
      </c>
      <c r="G249" s="30" t="n">
        <f aca="false">IFERROR(E249/F249,0)</f>
        <v>0.548979591836735</v>
      </c>
      <c r="H249" s="31" t="n">
        <f aca="false">IFERROR(INDEX(Insumos!$G$20:$G$168,MATCH($C249,Insumos!$A$20:$A$168,0)),0)</f>
        <v>7.49</v>
      </c>
      <c r="I249" s="27" t="n">
        <f aca="false">G249*H249</f>
        <v>4.11185714285714</v>
      </c>
    </row>
    <row r="250" customFormat="false" ht="15" hidden="false" customHeight="false" outlineLevel="0" collapsed="false">
      <c r="A250" s="15" t="s">
        <v>502</v>
      </c>
      <c r="B250" s="15" t="s">
        <v>503</v>
      </c>
      <c r="C250" s="16" t="s">
        <v>237</v>
      </c>
      <c r="D250" s="15" t="s">
        <v>238</v>
      </c>
      <c r="E250" s="18" t="n">
        <v>0.288</v>
      </c>
      <c r="F250" s="29" t="n">
        <f aca="false">IFERROR(INDEX(Insumos!$F$4:$F$168,MATCH($C250,Insumos!$A$4:$A$168,0)),1)</f>
        <v>0.98</v>
      </c>
      <c r="G250" s="30" t="n">
        <f aca="false">IFERROR(E250/F250,0)</f>
        <v>0.293877551020408</v>
      </c>
      <c r="H250" s="31" t="n">
        <f aca="false">IFERROR(INDEX(Insumos!$G$20:$G$168,MATCH($C250,Insumos!$A$20:$A$168,0)),0)</f>
        <v>15</v>
      </c>
      <c r="I250" s="27" t="n">
        <f aca="false">G250*H250</f>
        <v>4.40816326530612</v>
      </c>
    </row>
    <row r="251" customFormat="false" ht="15" hidden="false" customHeight="false" outlineLevel="0" collapsed="false">
      <c r="A251" s="15" t="s">
        <v>502</v>
      </c>
      <c r="B251" s="15" t="s">
        <v>503</v>
      </c>
      <c r="C251" s="16" t="s">
        <v>344</v>
      </c>
      <c r="D251" s="15" t="s">
        <v>345</v>
      </c>
      <c r="E251" s="18" t="n">
        <v>0.288</v>
      </c>
      <c r="F251" s="29" t="n">
        <f aca="false">IFERROR(INDEX(Insumos!$F$4:$F$168,MATCH($C251,Insumos!$A$4:$A$168,0)),1)</f>
        <v>0.98</v>
      </c>
      <c r="G251" s="30" t="n">
        <f aca="false">IFERROR(E251/F251,0)</f>
        <v>0.293877551020408</v>
      </c>
      <c r="H251" s="31" t="n">
        <f aca="false">IFERROR(INDEX(Insumos!$G$20:$G$168,MATCH($C251,Insumos!$A$20:$A$168,0)),0)</f>
        <v>12</v>
      </c>
      <c r="I251" s="27" t="n">
        <f aca="false">G251*H251</f>
        <v>3.5265306122449</v>
      </c>
    </row>
    <row r="252" customFormat="false" ht="15" hidden="false" customHeight="false" outlineLevel="0" collapsed="false">
      <c r="A252" s="15" t="s">
        <v>502</v>
      </c>
      <c r="B252" s="15" t="s">
        <v>503</v>
      </c>
      <c r="C252" s="16" t="s">
        <v>212</v>
      </c>
      <c r="D252" s="15" t="s">
        <v>213</v>
      </c>
      <c r="E252" s="18" t="n">
        <v>0.4</v>
      </c>
      <c r="F252" s="29" t="n">
        <f aca="false">IFERROR(INDEX(Insumos!$F$4:$F$168,MATCH($C252,Insumos!$A$4:$A$168,0)),1)</f>
        <v>0.98</v>
      </c>
      <c r="G252" s="30" t="n">
        <f aca="false">IFERROR(E252/F252,0)</f>
        <v>0.408163265306122</v>
      </c>
      <c r="H252" s="31" t="n">
        <f aca="false">IFERROR(INDEX(Insumos!$G$20:$G$168,MATCH($C252,Insumos!$A$20:$A$168,0)),0)</f>
        <v>9.5</v>
      </c>
      <c r="I252" s="27" t="n">
        <f aca="false">G252*H252</f>
        <v>3.87755102040816</v>
      </c>
    </row>
    <row r="253" customFormat="false" ht="15" hidden="false" customHeight="false" outlineLevel="0" collapsed="false">
      <c r="A253" s="15" t="s">
        <v>502</v>
      </c>
      <c r="B253" s="15" t="s">
        <v>503</v>
      </c>
      <c r="C253" s="16" t="s">
        <v>256</v>
      </c>
      <c r="D253" s="15" t="s">
        <v>257</v>
      </c>
      <c r="E253" s="18" t="n">
        <v>0.004</v>
      </c>
      <c r="F253" s="29" t="n">
        <f aca="false">IFERROR(INDEX(Insumos!$F$4:$F$168,MATCH($C253,Insumos!$A$4:$A$168,0)),1)</f>
        <v>0.98</v>
      </c>
      <c r="G253" s="30" t="n">
        <f aca="false">IFERROR(E253/F253,0)</f>
        <v>0.00408163265306123</v>
      </c>
      <c r="H253" s="31" t="n">
        <f aca="false">IFERROR(INDEX(Insumos!$G$20:$G$168,MATCH($C253,Insumos!$A$20:$A$168,0)),0)</f>
        <v>36.86</v>
      </c>
      <c r="I253" s="27" t="n">
        <f aca="false">G253*H253</f>
        <v>0.150448979591837</v>
      </c>
    </row>
    <row r="254" customFormat="false" ht="15" hidden="false" customHeight="false" outlineLevel="0" collapsed="false">
      <c r="A254" s="15" t="s">
        <v>73</v>
      </c>
      <c r="B254" s="15" t="s">
        <v>504</v>
      </c>
      <c r="C254" s="16" t="s">
        <v>210</v>
      </c>
      <c r="D254" s="15" t="s">
        <v>211</v>
      </c>
      <c r="E254" s="18" t="n">
        <v>0.4</v>
      </c>
      <c r="F254" s="29" t="n">
        <f aca="false">IFERROR(INDEX(Insumos!$F$4:$F$168,MATCH($C254,Insumos!$A$4:$A$168,0)),1)</f>
        <v>0.98</v>
      </c>
      <c r="G254" s="30" t="n">
        <f aca="false">IFERROR(E254/F254,0)</f>
        <v>0.408163265306122</v>
      </c>
      <c r="H254" s="31" t="n">
        <f aca="false">IFERROR(INDEX(Insumos!$G$20:$G$168,MATCH($C254,Insumos!$A$20:$A$168,0)),0)</f>
        <v>7.49</v>
      </c>
      <c r="I254" s="27" t="n">
        <f aca="false">G254*H254</f>
        <v>3.05714285714286</v>
      </c>
    </row>
    <row r="255" customFormat="false" ht="15" hidden="false" customHeight="false" outlineLevel="0" collapsed="false">
      <c r="A255" s="15" t="s">
        <v>73</v>
      </c>
      <c r="B255" s="15" t="s">
        <v>504</v>
      </c>
      <c r="C255" s="16" t="s">
        <v>237</v>
      </c>
      <c r="D255" s="15" t="s">
        <v>238</v>
      </c>
      <c r="E255" s="18" t="n">
        <v>0.1</v>
      </c>
      <c r="F255" s="29" t="n">
        <f aca="false">IFERROR(INDEX(Insumos!$F$4:$F$168,MATCH($C255,Insumos!$A$4:$A$168,0)),1)</f>
        <v>0.98</v>
      </c>
      <c r="G255" s="30" t="n">
        <f aca="false">IFERROR(E255/F255,0)</f>
        <v>0.102040816326531</v>
      </c>
      <c r="H255" s="31" t="n">
        <f aca="false">IFERROR(INDEX(Insumos!$G$20:$G$168,MATCH($C255,Insumos!$A$20:$A$168,0)),0)</f>
        <v>15</v>
      </c>
      <c r="I255" s="27" t="n">
        <f aca="false">G255*H255</f>
        <v>1.53061224489796</v>
      </c>
    </row>
    <row r="256" customFormat="false" ht="15" hidden="false" customHeight="false" outlineLevel="0" collapsed="false">
      <c r="A256" s="15" t="s">
        <v>73</v>
      </c>
      <c r="B256" s="15" t="s">
        <v>504</v>
      </c>
      <c r="C256" s="16" t="s">
        <v>344</v>
      </c>
      <c r="D256" s="15" t="s">
        <v>345</v>
      </c>
      <c r="E256" s="18" t="n">
        <v>0.1</v>
      </c>
      <c r="F256" s="29" t="n">
        <f aca="false">IFERROR(INDEX(Insumos!$F$4:$F$168,MATCH($C256,Insumos!$A$4:$A$168,0)),1)</f>
        <v>0.98</v>
      </c>
      <c r="G256" s="30" t="n">
        <f aca="false">IFERROR(E256/F256,0)</f>
        <v>0.102040816326531</v>
      </c>
      <c r="H256" s="31" t="n">
        <f aca="false">IFERROR(INDEX(Insumos!$G$20:$G$168,MATCH($C256,Insumos!$A$20:$A$168,0)),0)</f>
        <v>12</v>
      </c>
      <c r="I256" s="27" t="n">
        <f aca="false">G256*H256</f>
        <v>1.22448979591837</v>
      </c>
    </row>
    <row r="257" customFormat="false" ht="15" hidden="false" customHeight="false" outlineLevel="0" collapsed="false">
      <c r="A257" s="15" t="s">
        <v>73</v>
      </c>
      <c r="B257" s="15" t="s">
        <v>504</v>
      </c>
      <c r="C257" s="16" t="s">
        <v>256</v>
      </c>
      <c r="D257" s="15" t="s">
        <v>257</v>
      </c>
      <c r="E257" s="18" t="n">
        <v>0.012</v>
      </c>
      <c r="F257" s="29" t="n">
        <f aca="false">IFERROR(INDEX(Insumos!$F$4:$F$168,MATCH($C257,Insumos!$A$4:$A$168,0)),1)</f>
        <v>0.98</v>
      </c>
      <c r="G257" s="30" t="n">
        <f aca="false">IFERROR(E257/F257,0)</f>
        <v>0.0122448979591837</v>
      </c>
      <c r="H257" s="31" t="n">
        <f aca="false">IFERROR(INDEX(Insumos!$G$20:$G$168,MATCH($C257,Insumos!$A$20:$A$168,0)),0)</f>
        <v>36.86</v>
      </c>
      <c r="I257" s="27" t="n">
        <f aca="false">G257*H257</f>
        <v>0.45134693877551</v>
      </c>
    </row>
    <row r="258" customFormat="false" ht="15" hidden="false" customHeight="false" outlineLevel="0" collapsed="false">
      <c r="A258" s="15" t="s">
        <v>505</v>
      </c>
      <c r="B258" s="15" t="s">
        <v>506</v>
      </c>
      <c r="C258" s="16" t="s">
        <v>338</v>
      </c>
      <c r="D258" s="15" t="s">
        <v>339</v>
      </c>
      <c r="E258" s="18" t="n">
        <v>0.25</v>
      </c>
      <c r="F258" s="29" t="n">
        <f aca="false">IFERROR(INDEX(Insumos!$F$4:$F$168,MATCH($C258,Insumos!$A$4:$A$168,0)),1)</f>
        <v>0.98</v>
      </c>
      <c r="G258" s="30" t="n">
        <f aca="false">IFERROR(E258/F258,0)</f>
        <v>0.255102040816327</v>
      </c>
      <c r="H258" s="31" t="n">
        <f aca="false">IFERROR(INDEX(Insumos!$G$20:$G$168,MATCH($C258,Insumos!$A$20:$A$168,0)),0)</f>
        <v>30</v>
      </c>
      <c r="I258" s="27" t="n">
        <f aca="false">G258*H258</f>
        <v>7.6530612244898</v>
      </c>
    </row>
    <row r="259" customFormat="false" ht="15" hidden="false" customHeight="false" outlineLevel="0" collapsed="false">
      <c r="A259" s="15" t="s">
        <v>505</v>
      </c>
      <c r="B259" s="15" t="s">
        <v>506</v>
      </c>
      <c r="C259" s="16" t="s">
        <v>382</v>
      </c>
      <c r="D259" s="15" t="s">
        <v>383</v>
      </c>
      <c r="E259" s="18" t="n">
        <v>0.05</v>
      </c>
      <c r="F259" s="29" t="n">
        <f aca="false">IFERROR(INDEX(Insumos!$F$4:$F$168,MATCH($C259,Insumos!$A$4:$A$168,0)),1)</f>
        <v>0.98</v>
      </c>
      <c r="G259" s="30" t="n">
        <f aca="false">IFERROR(E259/F259,0)</f>
        <v>0.0510204081632653</v>
      </c>
      <c r="H259" s="31" t="n">
        <f aca="false">IFERROR(INDEX(Insumos!$G$20:$G$168,MATCH($C259,Insumos!$A$20:$A$168,0)),0)</f>
        <v>9.9</v>
      </c>
      <c r="I259" s="27" t="n">
        <f aca="false">G259*H259</f>
        <v>0.505102040816327</v>
      </c>
    </row>
    <row r="260" customFormat="false" ht="15" hidden="false" customHeight="false" outlineLevel="0" collapsed="false">
      <c r="A260" s="15" t="s">
        <v>505</v>
      </c>
      <c r="B260" s="15" t="s">
        <v>506</v>
      </c>
      <c r="C260" s="16" t="s">
        <v>245</v>
      </c>
      <c r="D260" s="15" t="s">
        <v>246</v>
      </c>
      <c r="E260" s="18" t="n">
        <v>0.01</v>
      </c>
      <c r="F260" s="29" t="n">
        <f aca="false">IFERROR(INDEX(Insumos!$F$4:$F$168,MATCH($C260,Insumos!$A$4:$A$168,0)),1)</f>
        <v>0.95</v>
      </c>
      <c r="G260" s="30" t="n">
        <f aca="false">IFERROR(E260/F260,0)</f>
        <v>0.0105263157894737</v>
      </c>
      <c r="H260" s="31" t="n">
        <f aca="false">IFERROR(INDEX(Insumos!$G$20:$G$168,MATCH($C260,Insumos!$A$20:$A$168,0)),0)</f>
        <v>19.99</v>
      </c>
      <c r="I260" s="27" t="n">
        <f aca="false">G260*H260</f>
        <v>0.210421052631579</v>
      </c>
    </row>
    <row r="261" customFormat="false" ht="15" hidden="false" customHeight="false" outlineLevel="0" collapsed="false">
      <c r="A261" s="15" t="s">
        <v>505</v>
      </c>
      <c r="B261" s="15" t="s">
        <v>506</v>
      </c>
      <c r="C261" s="16" t="s">
        <v>403</v>
      </c>
      <c r="D261" s="15" t="s">
        <v>404</v>
      </c>
      <c r="E261" s="18" t="n">
        <v>0.12</v>
      </c>
      <c r="F261" s="29" t="n">
        <f aca="false">IFERROR(INDEX(Insumos!$F$4:$F$168,MATCH($C261,Insumos!$A$4:$A$168,0)),1)</f>
        <v>0.98</v>
      </c>
      <c r="G261" s="30" t="n">
        <f aca="false">IFERROR(E261/F261,0)</f>
        <v>0.122448979591837</v>
      </c>
      <c r="H261" s="31" t="n">
        <f aca="false">IFERROR(INDEX(Insumos!$G$20:$G$168,MATCH($C261,Insumos!$A$20:$A$168,0)),0)</f>
        <v>1.5</v>
      </c>
      <c r="I261" s="27" t="n">
        <f aca="false">G261*H261</f>
        <v>0.183673469387755</v>
      </c>
    </row>
    <row r="262" customFormat="false" ht="15" hidden="false" customHeight="false" outlineLevel="0" collapsed="false">
      <c r="A262" s="15" t="s">
        <v>505</v>
      </c>
      <c r="B262" s="15" t="s">
        <v>506</v>
      </c>
      <c r="C262" s="16" t="s">
        <v>380</v>
      </c>
      <c r="D262" s="15" t="s">
        <v>381</v>
      </c>
      <c r="E262" s="18" t="n">
        <v>0.05</v>
      </c>
      <c r="F262" s="29" t="n">
        <f aca="false">IFERROR(INDEX(Insumos!$F$4:$F$168,MATCH($C262,Insumos!$A$4:$A$168,0)),1)</f>
        <v>1</v>
      </c>
      <c r="G262" s="30" t="n">
        <f aca="false">IFERROR(E262/F262,0)</f>
        <v>0.05</v>
      </c>
      <c r="H262" s="31" t="n">
        <f aca="false">IFERROR(INDEX(Insumos!$G$20:$G$168,MATCH($C262,Insumos!$A$20:$A$168,0)),0)</f>
        <v>30</v>
      </c>
      <c r="I262" s="27" t="n">
        <f aca="false">G262*H262</f>
        <v>1.5</v>
      </c>
    </row>
    <row r="263" customFormat="false" ht="15" hidden="false" customHeight="false" outlineLevel="0" collapsed="false">
      <c r="A263" s="15" t="s">
        <v>507</v>
      </c>
      <c r="B263" s="15" t="s">
        <v>508</v>
      </c>
      <c r="C263" s="16" t="s">
        <v>390</v>
      </c>
      <c r="D263" s="15" t="s">
        <v>391</v>
      </c>
      <c r="E263" s="18" t="n">
        <v>5</v>
      </c>
      <c r="F263" s="29" t="n">
        <f aca="false">IFERROR(INDEX(Insumos!$F$4:$F$168,MATCH($C263,Insumos!$A$4:$A$168,0)),1)</f>
        <v>0.76036036036036</v>
      </c>
      <c r="G263" s="30" t="n">
        <f aca="false">IFERROR(E263/F263,0)</f>
        <v>6.57582938388626</v>
      </c>
      <c r="H263" s="31" t="n">
        <f aca="false">IFERROR(INDEX(Insumos!$G$20:$G$168,MATCH($C263,Insumos!$A$20:$A$168,0)),0)</f>
        <v>8</v>
      </c>
      <c r="I263" s="27" t="n">
        <f aca="false">G263*H263</f>
        <v>52.6066350710901</v>
      </c>
    </row>
    <row r="264" customFormat="false" ht="15" hidden="false" customHeight="false" outlineLevel="0" collapsed="false">
      <c r="A264" s="15" t="s">
        <v>507</v>
      </c>
      <c r="B264" s="15" t="s">
        <v>508</v>
      </c>
      <c r="C264" s="16" t="s">
        <v>169</v>
      </c>
      <c r="D264" s="15" t="s">
        <v>170</v>
      </c>
      <c r="E264" s="18" t="n">
        <v>0.25</v>
      </c>
      <c r="F264" s="29" t="n">
        <f aca="false">IFERROR(INDEX(Insumos!$F$4:$F$168,MATCH($C264,Insumos!$A$4:$A$168,0)),1)</f>
        <v>0.84</v>
      </c>
      <c r="G264" s="30" t="n">
        <f aca="false">IFERROR(E264/F264,0)</f>
        <v>0.297619047619048</v>
      </c>
      <c r="H264" s="31" t="n">
        <f aca="false">IFERROR(INDEX(Insumos!$G$20:$G$168,MATCH($C264,Insumos!$A$20:$A$168,0)),0)</f>
        <v>6</v>
      </c>
      <c r="I264" s="27" t="n">
        <f aca="false">G264*H264</f>
        <v>1.78571428571429</v>
      </c>
    </row>
    <row r="265" customFormat="false" ht="15" hidden="false" customHeight="false" outlineLevel="0" collapsed="false">
      <c r="A265" s="15" t="s">
        <v>507</v>
      </c>
      <c r="B265" s="15" t="s">
        <v>508</v>
      </c>
      <c r="C265" s="16" t="s">
        <v>94</v>
      </c>
      <c r="D265" s="15" t="s">
        <v>95</v>
      </c>
      <c r="E265" s="18" t="n">
        <v>0.025</v>
      </c>
      <c r="F265" s="29" t="n">
        <f aca="false">IFERROR(INDEX(Insumos!$F$4:$F$168,MATCH($C265,Insumos!$A$4:$A$168,0)),1)</f>
        <v>0.88</v>
      </c>
      <c r="G265" s="30" t="n">
        <f aca="false">IFERROR(E265/F265,0)</f>
        <v>0.0284090909090909</v>
      </c>
      <c r="H265" s="31" t="n">
        <f aca="false">IFERROR(INDEX(Insumos!$G$20:$G$168,MATCH($C265,Insumos!$A$20:$A$168,0)),0)</f>
        <v>24.99</v>
      </c>
      <c r="I265" s="27" t="n">
        <f aca="false">G265*H265</f>
        <v>0.709943181818182</v>
      </c>
    </row>
    <row r="266" customFormat="false" ht="15" hidden="false" customHeight="false" outlineLevel="0" collapsed="false">
      <c r="A266" s="15" t="s">
        <v>507</v>
      </c>
      <c r="B266" s="15" t="s">
        <v>508</v>
      </c>
      <c r="C266" s="16" t="s">
        <v>286</v>
      </c>
      <c r="D266" s="15" t="s">
        <v>287</v>
      </c>
      <c r="E266" s="18" t="n">
        <v>0.01</v>
      </c>
      <c r="F266" s="29" t="n">
        <f aca="false">IFERROR(INDEX(Insumos!$F$4:$F$168,MATCH($C266,Insumos!$A$4:$A$168,0)),1)</f>
        <v>0.98</v>
      </c>
      <c r="G266" s="30" t="n">
        <f aca="false">IFERROR(E266/F266,0)</f>
        <v>0.0102040816326531</v>
      </c>
      <c r="H266" s="31" t="n">
        <f aca="false">IFERROR(INDEX(Insumos!$G$20:$G$168,MATCH($C266,Insumos!$A$20:$A$168,0)),0)</f>
        <v>44.55</v>
      </c>
      <c r="I266" s="27" t="n">
        <f aca="false">G266*H266</f>
        <v>0.454591836734694</v>
      </c>
    </row>
    <row r="267" customFormat="false" ht="15" hidden="false" customHeight="false" outlineLevel="0" collapsed="false">
      <c r="A267" s="15" t="s">
        <v>507</v>
      </c>
      <c r="B267" s="15" t="s">
        <v>508</v>
      </c>
      <c r="C267" s="16" t="s">
        <v>118</v>
      </c>
      <c r="D267" s="15" t="s">
        <v>119</v>
      </c>
      <c r="E267" s="18" t="n">
        <v>0.05</v>
      </c>
      <c r="F267" s="29" t="n">
        <f aca="false">IFERROR(INDEX(Insumos!$F$4:$F$168,MATCH($C267,Insumos!$A$4:$A$168,0)),1)</f>
        <v>0.95</v>
      </c>
      <c r="G267" s="30" t="n">
        <f aca="false">IFERROR(E267/F267,0)</f>
        <v>0.0526315789473684</v>
      </c>
      <c r="H267" s="31" t="n">
        <f aca="false">IFERROR(INDEX(Insumos!$G$20:$G$168,MATCH($C267,Insumos!$A$20:$A$168,0)),0)</f>
        <v>20</v>
      </c>
      <c r="I267" s="27" t="n">
        <f aca="false">G267*H267</f>
        <v>1.05263157894737</v>
      </c>
    </row>
    <row r="268" customFormat="false" ht="15" hidden="false" customHeight="false" outlineLevel="0" collapsed="false">
      <c r="A268" s="15" t="s">
        <v>509</v>
      </c>
      <c r="B268" s="15" t="s">
        <v>510</v>
      </c>
      <c r="C268" s="16" t="s">
        <v>165</v>
      </c>
      <c r="D268" s="15" t="s">
        <v>166</v>
      </c>
      <c r="E268" s="18" t="n">
        <v>0.07</v>
      </c>
      <c r="F268" s="29" t="n">
        <f aca="false">IFERROR(INDEX(Insumos!$F$4:$F$168,MATCH($C268,Insumos!$A$4:$A$168,0)),1)</f>
        <v>0.98</v>
      </c>
      <c r="G268" s="30" t="n">
        <f aca="false">IFERROR(E268/F268,0)</f>
        <v>0.0714285714285714</v>
      </c>
      <c r="H268" s="31" t="n">
        <f aca="false">IFERROR(INDEX(Insumos!$G$20:$G$168,MATCH($C268,Insumos!$A$20:$A$168,0)),0)</f>
        <v>69.9</v>
      </c>
      <c r="I268" s="27" t="n">
        <f aca="false">G268*H268</f>
        <v>4.99285714285714</v>
      </c>
    </row>
    <row r="269" customFormat="false" ht="15" hidden="false" customHeight="false" outlineLevel="0" collapsed="false">
      <c r="A269" s="15" t="s">
        <v>509</v>
      </c>
      <c r="B269" s="15" t="s">
        <v>510</v>
      </c>
      <c r="C269" s="16" t="s">
        <v>118</v>
      </c>
      <c r="D269" s="15" t="s">
        <v>119</v>
      </c>
      <c r="E269" s="18" t="n">
        <v>0.05</v>
      </c>
      <c r="F269" s="29" t="n">
        <f aca="false">IFERROR(INDEX(Insumos!$F$4:$F$168,MATCH($C269,Insumos!$A$4:$A$168,0)),1)</f>
        <v>0.95</v>
      </c>
      <c r="G269" s="30" t="n">
        <f aca="false">IFERROR(E269/F269,0)</f>
        <v>0.0526315789473684</v>
      </c>
      <c r="H269" s="31" t="n">
        <f aca="false">IFERROR(INDEX(Insumos!$G$20:$G$168,MATCH($C269,Insumos!$A$20:$A$168,0)),0)</f>
        <v>20</v>
      </c>
      <c r="I269" s="27" t="n">
        <f aca="false">G269*H269</f>
        <v>1.05263157894737</v>
      </c>
    </row>
    <row r="270" customFormat="false" ht="15" hidden="false" customHeight="false" outlineLevel="0" collapsed="false">
      <c r="A270" s="15" t="s">
        <v>509</v>
      </c>
      <c r="B270" s="15" t="s">
        <v>510</v>
      </c>
      <c r="C270" s="16" t="s">
        <v>254</v>
      </c>
      <c r="D270" s="15" t="s">
        <v>255</v>
      </c>
      <c r="E270" s="18" t="n">
        <v>0.01</v>
      </c>
      <c r="F270" s="29" t="n">
        <f aca="false">IFERROR(INDEX(Insumos!$F$4:$F$168,MATCH($C270,Insumos!$A$4:$A$168,0)),1)</f>
        <v>0.95</v>
      </c>
      <c r="G270" s="30" t="n">
        <f aca="false">IFERROR(E270/F270,0)</f>
        <v>0.0105263157894737</v>
      </c>
      <c r="H270" s="31" t="n">
        <f aca="false">IFERROR(INDEX(Insumos!$G$20:$G$168,MATCH($C270,Insumos!$A$20:$A$168,0)),0)</f>
        <v>69</v>
      </c>
      <c r="I270" s="27" t="n">
        <f aca="false">G270*H270</f>
        <v>0.726315789473684</v>
      </c>
    </row>
    <row r="271" customFormat="false" ht="15" hidden="false" customHeight="false" outlineLevel="0" collapsed="false">
      <c r="A271" s="15" t="s">
        <v>509</v>
      </c>
      <c r="B271" s="15" t="s">
        <v>510</v>
      </c>
      <c r="C271" s="16" t="s">
        <v>281</v>
      </c>
      <c r="D271" s="15" t="s">
        <v>282</v>
      </c>
      <c r="E271" s="18" t="n">
        <v>0.02</v>
      </c>
      <c r="F271" s="29" t="n">
        <f aca="false">IFERROR(INDEX(Insumos!$F$4:$F$168,MATCH($C271,Insumos!$A$4:$A$168,0)),1)</f>
        <v>0.98</v>
      </c>
      <c r="G271" s="30" t="n">
        <f aca="false">IFERROR(E271/F271,0)</f>
        <v>0.0204081632653061</v>
      </c>
      <c r="H271" s="31" t="n">
        <f aca="false">IFERROR(INDEX(Insumos!$G$20:$G$168,MATCH($C271,Insumos!$A$20:$A$168,0)),0)</f>
        <v>149.9</v>
      </c>
      <c r="I271" s="27" t="n">
        <f aca="false">G271*H271</f>
        <v>3.05918367346939</v>
      </c>
    </row>
    <row r="272" customFormat="false" ht="15" hidden="false" customHeight="false" outlineLevel="0" collapsed="false">
      <c r="A272" s="15" t="s">
        <v>509</v>
      </c>
      <c r="B272" s="15" t="s">
        <v>510</v>
      </c>
      <c r="C272" s="16" t="s">
        <v>403</v>
      </c>
      <c r="D272" s="15" t="s">
        <v>404</v>
      </c>
      <c r="E272" s="18" t="n">
        <v>0.7</v>
      </c>
      <c r="F272" s="29" t="n">
        <f aca="false">IFERROR(INDEX(Insumos!$F$4:$F$168,MATCH($C272,Insumos!$A$4:$A$168,0)),1)</f>
        <v>0.98</v>
      </c>
      <c r="G272" s="30" t="n">
        <f aca="false">IFERROR(E272/F272,0)</f>
        <v>0.714285714285714</v>
      </c>
      <c r="H272" s="31" t="n">
        <f aca="false">IFERROR(INDEX(Insumos!$G$20:$G$168,MATCH($C272,Insumos!$A$20:$A$168,0)),0)</f>
        <v>1.5</v>
      </c>
      <c r="I272" s="27" t="n">
        <f aca="false">G272*H272</f>
        <v>1.07142857142857</v>
      </c>
    </row>
    <row r="273" customFormat="false" ht="15" hidden="false" customHeight="false" outlineLevel="0" collapsed="false">
      <c r="A273" s="15" t="s">
        <v>509</v>
      </c>
      <c r="B273" s="15" t="s">
        <v>510</v>
      </c>
      <c r="C273" s="16" t="s">
        <v>368</v>
      </c>
      <c r="D273" s="15" t="s">
        <v>369</v>
      </c>
      <c r="E273" s="18" t="n">
        <v>0.005</v>
      </c>
      <c r="F273" s="29" t="n">
        <f aca="false">IFERROR(INDEX(Insumos!$F$4:$F$168,MATCH($C273,Insumos!$A$4:$A$168,0)),1)</f>
        <v>0.98</v>
      </c>
      <c r="G273" s="30" t="n">
        <f aca="false">IFERROR(E273/F273,0)</f>
        <v>0.00510204081632653</v>
      </c>
      <c r="H273" s="31" t="n">
        <f aca="false">IFERROR(INDEX(Insumos!$G$20:$G$168,MATCH($C273,Insumos!$A$20:$A$168,0)),0)</f>
        <v>3.73</v>
      </c>
      <c r="I273" s="27" t="n">
        <f aca="false">G273*H273</f>
        <v>0.019030612244898</v>
      </c>
    </row>
    <row r="274" customFormat="false" ht="15" hidden="false" customHeight="false" outlineLevel="0" collapsed="false">
      <c r="A274" s="15" t="s">
        <v>509</v>
      </c>
      <c r="B274" s="15" t="s">
        <v>510</v>
      </c>
      <c r="C274" s="16" t="s">
        <v>340</v>
      </c>
      <c r="D274" s="15" t="s">
        <v>341</v>
      </c>
      <c r="E274" s="18" t="n">
        <v>0.001</v>
      </c>
      <c r="F274" s="29" t="n">
        <f aca="false">IFERROR(INDEX(Insumos!$F$4:$F$168,MATCH($C274,Insumos!$A$4:$A$168,0)),1)</f>
        <v>0.95</v>
      </c>
      <c r="G274" s="30" t="n">
        <f aca="false">IFERROR(E274/F274,0)</f>
        <v>0.00105263157894737</v>
      </c>
      <c r="H274" s="31" t="n">
        <f aca="false">IFERROR(INDEX(Insumos!$G$20:$G$168,MATCH($C274,Insumos!$A$20:$A$168,0)),0)</f>
        <v>25.16</v>
      </c>
      <c r="I274" s="27" t="n">
        <f aca="false">G274*H274</f>
        <v>0.0264842105263158</v>
      </c>
    </row>
    <row r="275" customFormat="false" ht="15" hidden="false" customHeight="false" outlineLevel="0" collapsed="false">
      <c r="A275" s="15" t="s">
        <v>509</v>
      </c>
      <c r="B275" s="15" t="s">
        <v>510</v>
      </c>
      <c r="C275" s="16" t="s">
        <v>344</v>
      </c>
      <c r="D275" s="15" t="s">
        <v>345</v>
      </c>
      <c r="E275" s="18" t="n">
        <v>0.03</v>
      </c>
      <c r="F275" s="29" t="n">
        <f aca="false">IFERROR(INDEX(Insumos!$F$4:$F$168,MATCH($C275,Insumos!$A$4:$A$168,0)),1)</f>
        <v>0.98</v>
      </c>
      <c r="G275" s="30" t="n">
        <f aca="false">IFERROR(E275/F275,0)</f>
        <v>0.0306122448979592</v>
      </c>
      <c r="H275" s="31" t="n">
        <f aca="false">IFERROR(INDEX(Insumos!$G$20:$G$168,MATCH($C275,Insumos!$A$20:$A$168,0)),0)</f>
        <v>12</v>
      </c>
      <c r="I275" s="27" t="n">
        <f aca="false">G275*H275</f>
        <v>0.36734693877551</v>
      </c>
    </row>
    <row r="276" customFormat="false" ht="15" hidden="false" customHeight="false" outlineLevel="0" collapsed="false">
      <c r="A276" s="15" t="s">
        <v>509</v>
      </c>
      <c r="B276" s="15" t="s">
        <v>510</v>
      </c>
      <c r="C276" s="16" t="s">
        <v>382</v>
      </c>
      <c r="D276" s="15" t="s">
        <v>383</v>
      </c>
      <c r="E276" s="18" t="n">
        <v>0.01</v>
      </c>
      <c r="F276" s="29" t="n">
        <f aca="false">IFERROR(INDEX(Insumos!$F$4:$F$168,MATCH($C276,Insumos!$A$4:$A$168,0)),1)</f>
        <v>0.98</v>
      </c>
      <c r="G276" s="30" t="n">
        <f aca="false">IFERROR(E276/F276,0)</f>
        <v>0.0102040816326531</v>
      </c>
      <c r="H276" s="31" t="n">
        <f aca="false">IFERROR(INDEX(Insumos!$G$20:$G$168,MATCH($C276,Insumos!$A$20:$A$168,0)),0)</f>
        <v>9.9</v>
      </c>
      <c r="I276" s="27" t="n">
        <f aca="false">G276*H276</f>
        <v>0.101020408163265</v>
      </c>
    </row>
    <row r="277" customFormat="false" ht="15" hidden="false" customHeight="false" outlineLevel="0" collapsed="false">
      <c r="A277" s="15" t="s">
        <v>511</v>
      </c>
      <c r="B277" s="15" t="s">
        <v>512</v>
      </c>
      <c r="C277" s="16" t="s">
        <v>232</v>
      </c>
      <c r="D277" s="15" t="s">
        <v>233</v>
      </c>
      <c r="E277" s="18" t="n">
        <v>1.7</v>
      </c>
      <c r="F277" s="29" t="n">
        <f aca="false">IFERROR(INDEX(Insumos!$F$4:$F$168,MATCH($C277,Insumos!$A$4:$A$168,0)),1)</f>
        <v>0.98</v>
      </c>
      <c r="G277" s="30" t="n">
        <f aca="false">IFERROR(E277/F277,0)</f>
        <v>1.73469387755102</v>
      </c>
      <c r="H277" s="31" t="n">
        <f aca="false">IFERROR(INDEX(Insumos!$G$20:$G$168,MATCH($C277,Insumos!$A$20:$A$168,0)),0)</f>
        <v>16</v>
      </c>
      <c r="I277" s="27" t="n">
        <f aca="false">G277*H277</f>
        <v>27.7551020408163</v>
      </c>
    </row>
    <row r="278" customFormat="false" ht="15" hidden="false" customHeight="false" outlineLevel="0" collapsed="false">
      <c r="A278" s="15" t="s">
        <v>511</v>
      </c>
      <c r="B278" s="15" t="s">
        <v>512</v>
      </c>
      <c r="C278" s="16" t="s">
        <v>169</v>
      </c>
      <c r="D278" s="15" t="s">
        <v>170</v>
      </c>
      <c r="E278" s="18" t="n">
        <v>0.2</v>
      </c>
      <c r="F278" s="29" t="n">
        <f aca="false">IFERROR(INDEX(Insumos!$F$4:$F$168,MATCH($C278,Insumos!$A$4:$A$168,0)),1)</f>
        <v>0.84</v>
      </c>
      <c r="G278" s="30" t="n">
        <f aca="false">IFERROR(E278/F278,0)</f>
        <v>0.238095238095238</v>
      </c>
      <c r="H278" s="31" t="n">
        <f aca="false">IFERROR(INDEX(Insumos!$G$20:$G$168,MATCH($C278,Insumos!$A$20:$A$168,0)),0)</f>
        <v>6</v>
      </c>
      <c r="I278" s="27" t="n">
        <f aca="false">G278*H278</f>
        <v>1.42857142857143</v>
      </c>
    </row>
    <row r="279" customFormat="false" ht="15" hidden="false" customHeight="false" outlineLevel="0" collapsed="false">
      <c r="A279" s="15" t="s">
        <v>511</v>
      </c>
      <c r="B279" s="15" t="s">
        <v>512</v>
      </c>
      <c r="C279" s="16" t="s">
        <v>368</v>
      </c>
      <c r="D279" s="15" t="s">
        <v>369</v>
      </c>
      <c r="E279" s="18" t="n">
        <v>0.015</v>
      </c>
      <c r="F279" s="29" t="n">
        <f aca="false">IFERROR(INDEX(Insumos!$F$4:$F$168,MATCH($C279,Insumos!$A$4:$A$168,0)),1)</f>
        <v>0.98</v>
      </c>
      <c r="G279" s="30" t="n">
        <f aca="false">IFERROR(E279/F279,0)</f>
        <v>0.0153061224489796</v>
      </c>
      <c r="H279" s="31" t="n">
        <f aca="false">IFERROR(INDEX(Insumos!$G$20:$G$168,MATCH($C279,Insumos!$A$20:$A$168,0)),0)</f>
        <v>3.73</v>
      </c>
      <c r="I279" s="27" t="n">
        <f aca="false">G279*H279</f>
        <v>0.0570918367346939</v>
      </c>
    </row>
    <row r="280" customFormat="false" ht="15" hidden="false" customHeight="false" outlineLevel="0" collapsed="false">
      <c r="A280" s="15" t="s">
        <v>511</v>
      </c>
      <c r="B280" s="15" t="s">
        <v>512</v>
      </c>
      <c r="C280" s="16" t="s">
        <v>340</v>
      </c>
      <c r="D280" s="15" t="s">
        <v>341</v>
      </c>
      <c r="E280" s="18" t="n">
        <v>0.002</v>
      </c>
      <c r="F280" s="29" t="n">
        <f aca="false">IFERROR(INDEX(Insumos!$F$4:$F$168,MATCH($C280,Insumos!$A$4:$A$168,0)),1)</f>
        <v>0.95</v>
      </c>
      <c r="G280" s="30" t="n">
        <f aca="false">IFERROR(E280/F280,0)</f>
        <v>0.00210526315789474</v>
      </c>
      <c r="H280" s="31" t="n">
        <f aca="false">IFERROR(INDEX(Insumos!$G$20:$G$168,MATCH($C280,Insumos!$A$20:$A$168,0)),0)</f>
        <v>25.16</v>
      </c>
      <c r="I280" s="27" t="n">
        <f aca="false">G280*H280</f>
        <v>0.0529684210526316</v>
      </c>
    </row>
    <row r="281" customFormat="false" ht="15" hidden="false" customHeight="false" outlineLevel="0" collapsed="false">
      <c r="A281" s="15" t="s">
        <v>511</v>
      </c>
      <c r="B281" s="15" t="s">
        <v>512</v>
      </c>
      <c r="C281" s="16" t="s">
        <v>284</v>
      </c>
      <c r="D281" s="15" t="s">
        <v>285</v>
      </c>
      <c r="E281" s="18" t="n">
        <v>0.325</v>
      </c>
      <c r="F281" s="29" t="n">
        <f aca="false">IFERROR(INDEX(Insumos!$F$4:$F$168,MATCH($C281,Insumos!$A$4:$A$168,0)),1)</f>
        <v>0.98</v>
      </c>
      <c r="G281" s="30" t="n">
        <f aca="false">IFERROR(E281/F281,0)</f>
        <v>0.331632653061225</v>
      </c>
      <c r="H281" s="31" t="n">
        <f aca="false">IFERROR(INDEX(Insumos!$G$20:$G$168,MATCH($C281,Insumos!$A$20:$A$168,0)),0)</f>
        <v>28.75</v>
      </c>
      <c r="I281" s="27" t="n">
        <f aca="false">G281*H281</f>
        <v>9.53443877551021</v>
      </c>
    </row>
    <row r="282" customFormat="false" ht="15" hidden="false" customHeight="false" outlineLevel="0" collapsed="false">
      <c r="A282" s="15" t="s">
        <v>511</v>
      </c>
      <c r="B282" s="15" t="s">
        <v>512</v>
      </c>
      <c r="C282" s="16" t="s">
        <v>336</v>
      </c>
      <c r="D282" s="15" t="s">
        <v>337</v>
      </c>
      <c r="E282" s="18" t="n">
        <v>0.05</v>
      </c>
      <c r="F282" s="29" t="n">
        <f aca="false">IFERROR(INDEX(Insumos!$F$4:$F$168,MATCH($C282,Insumos!$A$4:$A$168,0)),1)</f>
        <v>1</v>
      </c>
      <c r="G282" s="30" t="n">
        <f aca="false">IFERROR(E282/F282,0)</f>
        <v>0.05</v>
      </c>
      <c r="H282" s="31" t="n">
        <f aca="false">IFERROR(INDEX(Insumos!$G$20:$G$168,MATCH($C282,Insumos!$A$20:$A$168,0)),0)</f>
        <v>15</v>
      </c>
      <c r="I282" s="27" t="n">
        <f aca="false">G282*H282</f>
        <v>0.75</v>
      </c>
    </row>
    <row r="283" customFormat="false" ht="15" hidden="false" customHeight="false" outlineLevel="0" collapsed="false">
      <c r="A283" s="15" t="s">
        <v>511</v>
      </c>
      <c r="B283" s="15" t="s">
        <v>512</v>
      </c>
      <c r="C283" s="16" t="s">
        <v>403</v>
      </c>
      <c r="D283" s="15" t="s">
        <v>404</v>
      </c>
      <c r="E283" s="18" t="n">
        <v>0.15</v>
      </c>
      <c r="F283" s="29" t="n">
        <f aca="false">IFERROR(INDEX(Insumos!$F$4:$F$168,MATCH($C283,Insumos!$A$4:$A$168,0)),1)</f>
        <v>0.98</v>
      </c>
      <c r="G283" s="30" t="n">
        <f aca="false">IFERROR(E283/F283,0)</f>
        <v>0.153061224489796</v>
      </c>
      <c r="H283" s="31" t="n">
        <f aca="false">IFERROR(INDEX(Insumos!$G$20:$G$168,MATCH($C283,Insumos!$A$20:$A$168,0)),0)</f>
        <v>1.5</v>
      </c>
      <c r="I283" s="27" t="n">
        <f aca="false">G283*H283</f>
        <v>0.229591836734694</v>
      </c>
    </row>
    <row r="284" customFormat="false" ht="15" hidden="false" customHeight="false" outlineLevel="0" collapsed="false">
      <c r="A284" s="15" t="s">
        <v>511</v>
      </c>
      <c r="B284" s="15" t="s">
        <v>512</v>
      </c>
      <c r="C284" s="16" t="s">
        <v>245</v>
      </c>
      <c r="D284" s="15" t="s">
        <v>246</v>
      </c>
      <c r="E284" s="18" t="n">
        <v>0.005</v>
      </c>
      <c r="F284" s="29" t="n">
        <f aca="false">IFERROR(INDEX(Insumos!$F$4:$F$168,MATCH($C284,Insumos!$A$4:$A$168,0)),1)</f>
        <v>0.95</v>
      </c>
      <c r="G284" s="30" t="n">
        <f aca="false">IFERROR(E284/F284,0)</f>
        <v>0.00526315789473684</v>
      </c>
      <c r="H284" s="31" t="n">
        <f aca="false">IFERROR(INDEX(Insumos!$G$20:$G$168,MATCH($C284,Insumos!$A$20:$A$168,0)),0)</f>
        <v>19.99</v>
      </c>
      <c r="I284" s="27" t="n">
        <f aca="false">G284*H284</f>
        <v>0.105210526315789</v>
      </c>
    </row>
    <row r="285" customFormat="false" ht="15" hidden="false" customHeight="false" outlineLevel="0" collapsed="false">
      <c r="A285" s="15" t="s">
        <v>513</v>
      </c>
      <c r="B285" s="15" t="s">
        <v>514</v>
      </c>
      <c r="C285" s="16" t="s">
        <v>73</v>
      </c>
      <c r="D285" s="15" t="s">
        <v>74</v>
      </c>
      <c r="E285" s="18" t="n">
        <v>0.25</v>
      </c>
      <c r="F285" s="29" t="n">
        <f aca="false">IFERROR(INDEX(Insumos!$F$4:$F$168,MATCH($C285,Insumos!$A$4:$A$168,0)),1)</f>
        <v>0.98</v>
      </c>
      <c r="G285" s="30" t="n">
        <f aca="false">IFERROR(E285/F285,0)</f>
        <v>0.255102040816327</v>
      </c>
      <c r="H285" s="31" t="n">
        <f aca="false">Insumos!$G$15</f>
        <v>10.2195983630848</v>
      </c>
      <c r="I285" s="27" t="n">
        <f aca="false">G285*H285</f>
        <v>2.60704039874613</v>
      </c>
    </row>
    <row r="286" customFormat="false" ht="15" hidden="false" customHeight="false" outlineLevel="0" collapsed="false">
      <c r="A286" s="15" t="s">
        <v>513</v>
      </c>
      <c r="B286" s="15" t="s">
        <v>514</v>
      </c>
      <c r="C286" s="16" t="s">
        <v>349</v>
      </c>
      <c r="D286" s="15" t="s">
        <v>350</v>
      </c>
      <c r="E286" s="18" t="n">
        <v>0.004</v>
      </c>
      <c r="F286" s="29" t="n">
        <f aca="false">IFERROR(INDEX(Insumos!$F$4:$F$168,MATCH($C286,Insumos!$A$4:$A$168,0)),1)</f>
        <v>0.98</v>
      </c>
      <c r="G286" s="30" t="n">
        <f aca="false">IFERROR(E286/F286,0)</f>
        <v>0.00408163265306123</v>
      </c>
      <c r="H286" s="31" t="n">
        <f aca="false">IFERROR(INDEX(Insumos!$G$20:$G$168,MATCH($C286,Insumos!$A$20:$A$168,0)),0)</f>
        <v>54.4</v>
      </c>
      <c r="I286" s="27" t="n">
        <f aca="false">G286*H286</f>
        <v>0.222040816326531</v>
      </c>
    </row>
    <row r="287" customFormat="false" ht="15" hidden="false" customHeight="false" outlineLevel="0" collapsed="false">
      <c r="A287" s="15" t="s">
        <v>513</v>
      </c>
      <c r="B287" s="15" t="s">
        <v>514</v>
      </c>
      <c r="C287" s="16" t="s">
        <v>366</v>
      </c>
      <c r="D287" s="15" t="s">
        <v>367</v>
      </c>
      <c r="E287" s="18" t="n">
        <v>0.006</v>
      </c>
      <c r="F287" s="29" t="n">
        <f aca="false">IFERROR(INDEX(Insumos!$F$4:$F$168,MATCH($C287,Insumos!$A$4:$A$168,0)),1)</f>
        <v>0.98</v>
      </c>
      <c r="G287" s="30" t="n">
        <f aca="false">IFERROR(E287/F287,0)</f>
        <v>0.00612244897959184</v>
      </c>
      <c r="H287" s="31" t="n">
        <f aca="false">IFERROR(INDEX(Insumos!$G$20:$G$168,MATCH($C287,Insumos!$A$20:$A$168,0)),0)</f>
        <v>5</v>
      </c>
      <c r="I287" s="27" t="n">
        <f aca="false">G287*H287</f>
        <v>0.0306122448979592</v>
      </c>
    </row>
    <row r="288" customFormat="false" ht="15" hidden="false" customHeight="false" outlineLevel="0" collapsed="false">
      <c r="A288" s="15" t="s">
        <v>513</v>
      </c>
      <c r="B288" s="15" t="s">
        <v>514</v>
      </c>
      <c r="C288" s="16" t="s">
        <v>121</v>
      </c>
      <c r="D288" s="15" t="s">
        <v>122</v>
      </c>
      <c r="E288" s="18" t="n">
        <v>0.01</v>
      </c>
      <c r="F288" s="29" t="n">
        <f aca="false">IFERROR(INDEX(Insumos!$F$4:$F$168,MATCH($C288,Insumos!$A$4:$A$168,0)),1)</f>
        <v>0.98</v>
      </c>
      <c r="G288" s="30" t="n">
        <f aca="false">IFERROR(E288/F288,0)</f>
        <v>0.0102040816326531</v>
      </c>
      <c r="H288" s="31" t="n">
        <f aca="false">IFERROR(INDEX(Insumos!$G$20:$G$168,MATCH($C288,Insumos!$A$20:$A$168,0)),0)</f>
        <v>6</v>
      </c>
      <c r="I288" s="27" t="n">
        <f aca="false">G288*H288</f>
        <v>0.0612244897959184</v>
      </c>
    </row>
    <row r="289" customFormat="false" ht="15" hidden="false" customHeight="false" outlineLevel="0" collapsed="false">
      <c r="A289" s="15" t="s">
        <v>513</v>
      </c>
      <c r="B289" s="15" t="s">
        <v>514</v>
      </c>
      <c r="C289" s="16" t="s">
        <v>118</v>
      </c>
      <c r="D289" s="15" t="s">
        <v>119</v>
      </c>
      <c r="E289" s="18" t="n">
        <v>0.01</v>
      </c>
      <c r="F289" s="29" t="n">
        <f aca="false">IFERROR(INDEX(Insumos!$F$4:$F$168,MATCH($C289,Insumos!$A$4:$A$168,0)),1)</f>
        <v>0.95</v>
      </c>
      <c r="G289" s="30" t="n">
        <f aca="false">IFERROR(E289/F289,0)</f>
        <v>0.0105263157894737</v>
      </c>
      <c r="H289" s="31" t="n">
        <f aca="false">IFERROR(INDEX(Insumos!$G$20:$G$168,MATCH($C289,Insumos!$A$20:$A$168,0)),0)</f>
        <v>20</v>
      </c>
      <c r="I289" s="27" t="n">
        <f aca="false">G289*H289</f>
        <v>0.210526315789474</v>
      </c>
    </row>
    <row r="290" customFormat="false" ht="15" hidden="false" customHeight="false" outlineLevel="0" collapsed="false">
      <c r="A290" s="15" t="s">
        <v>513</v>
      </c>
      <c r="B290" s="15" t="s">
        <v>514</v>
      </c>
      <c r="C290" s="16" t="s">
        <v>403</v>
      </c>
      <c r="D290" s="15" t="s">
        <v>404</v>
      </c>
      <c r="E290" s="18" t="n">
        <v>0.1</v>
      </c>
      <c r="F290" s="29" t="n">
        <f aca="false">IFERROR(INDEX(Insumos!$F$4:$F$168,MATCH($C290,Insumos!$A$4:$A$168,0)),1)</f>
        <v>0.98</v>
      </c>
      <c r="G290" s="30" t="n">
        <f aca="false">IFERROR(E290/F290,0)</f>
        <v>0.102040816326531</v>
      </c>
      <c r="H290" s="31" t="n">
        <f aca="false">IFERROR(INDEX(Insumos!$G$20:$G$168,MATCH($C290,Insumos!$A$20:$A$168,0)),0)</f>
        <v>1.5</v>
      </c>
      <c r="I290" s="27" t="n">
        <f aca="false">G290*H290</f>
        <v>0.153061224489796</v>
      </c>
    </row>
    <row r="291" customFormat="false" ht="15" hidden="false" customHeight="false" outlineLevel="0" collapsed="false">
      <c r="A291" s="15" t="s">
        <v>513</v>
      </c>
      <c r="B291" s="15" t="s">
        <v>514</v>
      </c>
      <c r="C291" s="16" t="s">
        <v>336</v>
      </c>
      <c r="D291" s="15" t="s">
        <v>337</v>
      </c>
      <c r="E291" s="18" t="n">
        <v>0.08</v>
      </c>
      <c r="F291" s="29" t="n">
        <f aca="false">IFERROR(INDEX(Insumos!$F$4:$F$168,MATCH($C291,Insumos!$A$4:$A$168,0)),1)</f>
        <v>1</v>
      </c>
      <c r="G291" s="30" t="n">
        <f aca="false">IFERROR(E291/F291,0)</f>
        <v>0.08</v>
      </c>
      <c r="H291" s="31" t="n">
        <f aca="false">IFERROR(INDEX(Insumos!$G$20:$G$168,MATCH($C291,Insumos!$A$20:$A$168,0)),0)</f>
        <v>15</v>
      </c>
      <c r="I291" s="27" t="n">
        <f aca="false">G291*H291</f>
        <v>1.2</v>
      </c>
    </row>
    <row r="292" customFormat="false" ht="15" hidden="false" customHeight="false" outlineLevel="0" collapsed="false">
      <c r="A292" s="15" t="s">
        <v>513</v>
      </c>
      <c r="B292" s="15" t="s">
        <v>514</v>
      </c>
      <c r="C292" s="16" t="s">
        <v>361</v>
      </c>
      <c r="D292" s="15" t="s">
        <v>362</v>
      </c>
      <c r="E292" s="18" t="n">
        <v>0.3</v>
      </c>
      <c r="F292" s="29" t="n">
        <f aca="false">IFERROR(INDEX(Insumos!$F$4:$F$168,MATCH($C292,Insumos!$A$4:$A$168,0)),1)</f>
        <v>1</v>
      </c>
      <c r="G292" s="30" t="n">
        <f aca="false">IFERROR(E292/F292,0)</f>
        <v>0.3</v>
      </c>
      <c r="H292" s="31" t="n">
        <f aca="false">IFERROR(INDEX(Insumos!$G$20:$G$168,MATCH($C292,Insumos!$A$20:$A$168,0)),0)</f>
        <v>60</v>
      </c>
      <c r="I292" s="27" t="n">
        <f aca="false">G292*H292</f>
        <v>18</v>
      </c>
    </row>
    <row r="293" customFormat="false" ht="15" hidden="false" customHeight="false" outlineLevel="0" collapsed="false">
      <c r="A293" s="15" t="s">
        <v>515</v>
      </c>
      <c r="B293" s="15" t="s">
        <v>516</v>
      </c>
      <c r="C293" s="16" t="s">
        <v>193</v>
      </c>
      <c r="D293" s="15" t="s">
        <v>194</v>
      </c>
      <c r="E293" s="18" t="n">
        <v>1.2</v>
      </c>
      <c r="F293" s="29" t="n">
        <f aca="false">IFERROR(INDEX(Insumos!$F$4:$F$168,MATCH($C293,Insumos!$A$4:$A$168,0)),1)</f>
        <v>0.85</v>
      </c>
      <c r="G293" s="30" t="n">
        <f aca="false">IFERROR(E293/F293,0)</f>
        <v>1.41176470588235</v>
      </c>
      <c r="H293" s="31" t="n">
        <f aca="false">IFERROR(INDEX(Insumos!$G$20:$G$168,MATCH($C293,Insumos!$A$20:$A$168,0)),0)</f>
        <v>53</v>
      </c>
      <c r="I293" s="27" t="n">
        <f aca="false">G293*H293</f>
        <v>74.8235294117647</v>
      </c>
    </row>
    <row r="294" customFormat="false" ht="15" hidden="false" customHeight="false" outlineLevel="0" collapsed="false">
      <c r="A294" s="15" t="s">
        <v>515</v>
      </c>
      <c r="B294" s="15" t="s">
        <v>516</v>
      </c>
      <c r="C294" s="16" t="s">
        <v>169</v>
      </c>
      <c r="D294" s="15" t="s">
        <v>170</v>
      </c>
      <c r="E294" s="18" t="n">
        <v>0.1</v>
      </c>
      <c r="F294" s="29" t="n">
        <f aca="false">IFERROR(INDEX(Insumos!$F$4:$F$168,MATCH($C294,Insumos!$A$4:$A$168,0)),1)</f>
        <v>0.84</v>
      </c>
      <c r="G294" s="30" t="n">
        <f aca="false">IFERROR(E294/F294,0)</f>
        <v>0.119047619047619</v>
      </c>
      <c r="H294" s="31" t="n">
        <f aca="false">IFERROR(INDEX(Insumos!$G$20:$G$168,MATCH($C294,Insumos!$A$20:$A$168,0)),0)</f>
        <v>6</v>
      </c>
      <c r="I294" s="27" t="n">
        <f aca="false">G294*H294</f>
        <v>0.714285714285714</v>
      </c>
    </row>
    <row r="295" customFormat="false" ht="15" hidden="false" customHeight="false" outlineLevel="0" collapsed="false">
      <c r="A295" s="15" t="s">
        <v>515</v>
      </c>
      <c r="B295" s="15" t="s">
        <v>516</v>
      </c>
      <c r="C295" s="16" t="s">
        <v>150</v>
      </c>
      <c r="D295" s="15" t="s">
        <v>151</v>
      </c>
      <c r="E295" s="18" t="n">
        <v>0.65</v>
      </c>
      <c r="F295" s="29" t="n">
        <f aca="false">IFERROR(INDEX(Insumos!$F$4:$F$168,MATCH($C295,Insumos!$A$4:$A$168,0)),1)</f>
        <v>0.95</v>
      </c>
      <c r="G295" s="30" t="n">
        <f aca="false">IFERROR(E295/F295,0)</f>
        <v>0.68421052631579</v>
      </c>
      <c r="H295" s="31" t="n">
        <f aca="false">IFERROR(INDEX(Insumos!$G$20:$G$168,MATCH($C295,Insumos!$A$20:$A$168,0)),0)</f>
        <v>30</v>
      </c>
      <c r="I295" s="27" t="n">
        <f aca="false">G295*H295</f>
        <v>20.5263157894737</v>
      </c>
    </row>
    <row r="296" customFormat="false" ht="15" hidden="false" customHeight="false" outlineLevel="0" collapsed="false">
      <c r="A296" s="15" t="s">
        <v>515</v>
      </c>
      <c r="B296" s="15" t="s">
        <v>516</v>
      </c>
      <c r="C296" s="16" t="s">
        <v>171</v>
      </c>
      <c r="D296" s="15" t="s">
        <v>172</v>
      </c>
      <c r="E296" s="18" t="n">
        <v>0.65</v>
      </c>
      <c r="F296" s="29" t="n">
        <f aca="false">IFERROR(INDEX(Insumos!$F$4:$F$168,MATCH($C296,Insumos!$A$4:$A$168,0)),1)</f>
        <v>0.98</v>
      </c>
      <c r="G296" s="30" t="n">
        <f aca="false">IFERROR(E296/F296,0)</f>
        <v>0.663265306122449</v>
      </c>
      <c r="H296" s="31" t="n">
        <f aca="false">IFERROR(INDEX(Insumos!$G$20:$G$168,MATCH($C296,Insumos!$A$20:$A$168,0)),0)</f>
        <v>7.9</v>
      </c>
      <c r="I296" s="27" t="n">
        <f aca="false">G296*H296</f>
        <v>5.23979591836735</v>
      </c>
    </row>
    <row r="297" customFormat="false" ht="15" hidden="false" customHeight="false" outlineLevel="0" collapsed="false">
      <c r="A297" s="15" t="s">
        <v>515</v>
      </c>
      <c r="B297" s="15" t="s">
        <v>516</v>
      </c>
      <c r="C297" s="16" t="s">
        <v>139</v>
      </c>
      <c r="D297" s="15" t="s">
        <v>140</v>
      </c>
      <c r="E297" s="18" t="n">
        <v>1</v>
      </c>
      <c r="F297" s="29" t="n">
        <f aca="false">IFERROR(INDEX(Insumos!$F$4:$F$168,MATCH($C297,Insumos!$A$4:$A$168,0)),1)</f>
        <v>0.8</v>
      </c>
      <c r="G297" s="30" t="n">
        <f aca="false">IFERROR(E297/F297,0)</f>
        <v>1.25</v>
      </c>
      <c r="H297" s="31" t="n">
        <f aca="false">IFERROR(INDEX(Insumos!$G$20:$G$168,MATCH($C297,Insumos!$A$20:$A$168,0)),0)</f>
        <v>6</v>
      </c>
      <c r="I297" s="27" t="n">
        <f aca="false">G297*H297</f>
        <v>7.5</v>
      </c>
    </row>
    <row r="298" customFormat="false" ht="15" hidden="false" customHeight="false" outlineLevel="0" collapsed="false">
      <c r="A298" s="15" t="s">
        <v>515</v>
      </c>
      <c r="B298" s="15" t="s">
        <v>516</v>
      </c>
      <c r="C298" s="16" t="s">
        <v>94</v>
      </c>
      <c r="D298" s="15" t="s">
        <v>95</v>
      </c>
      <c r="E298" s="18" t="n">
        <v>0.01</v>
      </c>
      <c r="F298" s="29" t="n">
        <f aca="false">IFERROR(INDEX(Insumos!$F$4:$F$168,MATCH($C298,Insumos!$A$4:$A$168,0)),1)</f>
        <v>0.88</v>
      </c>
      <c r="G298" s="30" t="n">
        <f aca="false">IFERROR(E298/F298,0)</f>
        <v>0.0113636363636364</v>
      </c>
      <c r="H298" s="31" t="n">
        <f aca="false">IFERROR(INDEX(Insumos!$G$20:$G$168,MATCH($C298,Insumos!$A$20:$A$168,0)),0)</f>
        <v>24.99</v>
      </c>
      <c r="I298" s="27" t="n">
        <f aca="false">G298*H298</f>
        <v>0.283977272727273</v>
      </c>
    </row>
    <row r="299" customFormat="false" ht="15" hidden="false" customHeight="false" outlineLevel="0" collapsed="false">
      <c r="A299" s="15" t="s">
        <v>515</v>
      </c>
      <c r="B299" s="15" t="s">
        <v>516</v>
      </c>
      <c r="C299" s="16" t="s">
        <v>118</v>
      </c>
      <c r="D299" s="15" t="s">
        <v>119</v>
      </c>
      <c r="E299" s="18" t="n">
        <v>0.1</v>
      </c>
      <c r="F299" s="29" t="n">
        <f aca="false">IFERROR(INDEX(Insumos!$F$4:$F$168,MATCH($C299,Insumos!$A$4:$A$168,0)),1)</f>
        <v>0.95</v>
      </c>
      <c r="G299" s="30" t="n">
        <f aca="false">IFERROR(E299/F299,0)</f>
        <v>0.105263157894737</v>
      </c>
      <c r="H299" s="31" t="n">
        <f aca="false">IFERROR(INDEX(Insumos!$G$20:$G$168,MATCH($C299,Insumos!$A$20:$A$168,0)),0)</f>
        <v>20</v>
      </c>
      <c r="I299" s="27" t="n">
        <f aca="false">G299*H299</f>
        <v>2.10526315789474</v>
      </c>
    </row>
    <row r="300" customFormat="false" ht="15" hidden="false" customHeight="false" outlineLevel="0" collapsed="false">
      <c r="A300" s="15" t="s">
        <v>75</v>
      </c>
      <c r="B300" s="15" t="s">
        <v>76</v>
      </c>
      <c r="C300" s="16" t="s">
        <v>139</v>
      </c>
      <c r="D300" s="15" t="s">
        <v>140</v>
      </c>
      <c r="E300" s="18" t="n">
        <v>1</v>
      </c>
      <c r="F300" s="29" t="n">
        <f aca="false">IFERROR(INDEX(Insumos!$F$4:$F$168,MATCH($C300,Insumos!$A$4:$A$168,0)),1)</f>
        <v>0.8</v>
      </c>
      <c r="G300" s="30" t="n">
        <f aca="false">IFERROR(E300/F300,0)</f>
        <v>1.25</v>
      </c>
      <c r="H300" s="31" t="n">
        <f aca="false">IFERROR(INDEX(Insumos!$G$20:$G$168,MATCH($C300,Insumos!$A$20:$A$168,0)),0)</f>
        <v>6</v>
      </c>
      <c r="I300" s="27" t="n">
        <f aca="false">G300*H300</f>
        <v>7.5</v>
      </c>
    </row>
    <row r="301" customFormat="false" ht="15" hidden="false" customHeight="false" outlineLevel="0" collapsed="false">
      <c r="A301" s="15" t="s">
        <v>75</v>
      </c>
      <c r="B301" s="15" t="s">
        <v>76</v>
      </c>
      <c r="C301" s="16" t="s">
        <v>47</v>
      </c>
      <c r="D301" s="15" t="s">
        <v>48</v>
      </c>
      <c r="E301" s="18" t="n">
        <v>0.1</v>
      </c>
      <c r="F301" s="29" t="n">
        <f aca="false">IFERROR(INDEX(Insumos!$F$4:$F$168,MATCH($C301,Insumos!$A$4:$A$168,0)),1)</f>
        <v>1</v>
      </c>
      <c r="G301" s="30" t="n">
        <f aca="false">IFERROR(E301/F301,0)</f>
        <v>0.1</v>
      </c>
      <c r="H301" s="31" t="n">
        <f aca="false">Insumos!$G$4</f>
        <v>27.661973587891</v>
      </c>
      <c r="I301" s="27" t="n">
        <f aca="false">G301*H301</f>
        <v>2.7661973587891</v>
      </c>
    </row>
    <row r="302" customFormat="false" ht="15" hidden="false" customHeight="false" outlineLevel="0" collapsed="false">
      <c r="A302" s="15" t="s">
        <v>75</v>
      </c>
      <c r="B302" s="15" t="s">
        <v>76</v>
      </c>
      <c r="C302" s="16" t="s">
        <v>327</v>
      </c>
      <c r="D302" s="15" t="s">
        <v>328</v>
      </c>
      <c r="E302" s="18" t="n">
        <v>0.003</v>
      </c>
      <c r="F302" s="29" t="n">
        <f aca="false">IFERROR(INDEX(Insumos!$F$4:$F$168,MATCH($C302,Insumos!$A$4:$A$168,0)),1)</f>
        <v>0.98</v>
      </c>
      <c r="G302" s="30" t="n">
        <f aca="false">IFERROR(E302/F302,0)</f>
        <v>0.00306122448979592</v>
      </c>
      <c r="H302" s="31" t="n">
        <f aca="false">IFERROR(INDEX(Insumos!$G$20:$G$168,MATCH($C302,Insumos!$A$20:$A$168,0)),0)</f>
        <v>105</v>
      </c>
      <c r="I302" s="27" t="n">
        <f aca="false">G302*H302</f>
        <v>0.321428571428571</v>
      </c>
    </row>
    <row r="303" customFormat="false" ht="15" hidden="false" customHeight="false" outlineLevel="0" collapsed="false">
      <c r="A303" s="15" t="s">
        <v>75</v>
      </c>
      <c r="B303" s="15" t="s">
        <v>76</v>
      </c>
      <c r="C303" s="16" t="s">
        <v>281</v>
      </c>
      <c r="D303" s="15" t="s">
        <v>282</v>
      </c>
      <c r="E303" s="18" t="n">
        <v>0.01</v>
      </c>
      <c r="F303" s="29" t="n">
        <f aca="false">IFERROR(INDEX(Insumos!$F$4:$F$168,MATCH($C303,Insumos!$A$4:$A$168,0)),1)</f>
        <v>0.98</v>
      </c>
      <c r="G303" s="30" t="n">
        <f aca="false">IFERROR(E303/F303,0)</f>
        <v>0.0102040816326531</v>
      </c>
      <c r="H303" s="31" t="n">
        <f aca="false">IFERROR(INDEX(Insumos!$G$20:$G$168,MATCH($C303,Insumos!$A$20:$A$168,0)),0)</f>
        <v>149.9</v>
      </c>
      <c r="I303" s="27" t="n">
        <f aca="false">G303*H303</f>
        <v>1.52959183673469</v>
      </c>
    </row>
    <row r="304" customFormat="false" ht="15" hidden="false" customHeight="false" outlineLevel="0" collapsed="false">
      <c r="A304" s="15" t="s">
        <v>75</v>
      </c>
      <c r="B304" s="15" t="s">
        <v>76</v>
      </c>
      <c r="C304" s="16" t="s">
        <v>366</v>
      </c>
      <c r="D304" s="15" t="s">
        <v>367</v>
      </c>
      <c r="E304" s="18" t="n">
        <v>0.005</v>
      </c>
      <c r="F304" s="29" t="n">
        <f aca="false">IFERROR(INDEX(Insumos!$F$4:$F$168,MATCH($C304,Insumos!$A$4:$A$168,0)),1)</f>
        <v>0.98</v>
      </c>
      <c r="G304" s="30" t="n">
        <f aca="false">IFERROR(E304/F304,0)</f>
        <v>0.00510204081632653</v>
      </c>
      <c r="H304" s="31" t="n">
        <f aca="false">IFERROR(INDEX(Insumos!$G$20:$G$168,MATCH($C304,Insumos!$A$20:$A$168,0)),0)</f>
        <v>5</v>
      </c>
      <c r="I304" s="27" t="n">
        <f aca="false">G304*H304</f>
        <v>0.0255102040816327</v>
      </c>
    </row>
    <row r="305" customFormat="false" ht="15" hidden="false" customHeight="false" outlineLevel="0" collapsed="false">
      <c r="A305" s="15" t="s">
        <v>517</v>
      </c>
      <c r="B305" s="15" t="s">
        <v>518</v>
      </c>
      <c r="C305" s="16" t="s">
        <v>336</v>
      </c>
      <c r="D305" s="15" t="s">
        <v>337</v>
      </c>
      <c r="E305" s="18" t="n">
        <v>0.21</v>
      </c>
      <c r="F305" s="29" t="n">
        <f aca="false">IFERROR(INDEX(Insumos!$F$4:$F$168,MATCH($C305,Insumos!$A$4:$A$168,0)),1)</f>
        <v>1</v>
      </c>
      <c r="G305" s="30" t="n">
        <f aca="false">IFERROR(E305/F305,0)</f>
        <v>0.21</v>
      </c>
      <c r="H305" s="31" t="n">
        <f aca="false">IFERROR(INDEX(Insumos!$G$20:$G$168,MATCH($C305,Insumos!$A$20:$A$168,0)),0)</f>
        <v>15</v>
      </c>
      <c r="I305" s="27" t="n">
        <f aca="false">G305*H305</f>
        <v>3.15</v>
      </c>
    </row>
    <row r="306" customFormat="false" ht="15" hidden="false" customHeight="false" outlineLevel="0" collapsed="false">
      <c r="A306" s="15" t="s">
        <v>517</v>
      </c>
      <c r="B306" s="15" t="s">
        <v>518</v>
      </c>
      <c r="C306" s="16" t="s">
        <v>403</v>
      </c>
      <c r="D306" s="15" t="s">
        <v>404</v>
      </c>
      <c r="E306" s="18" t="n">
        <v>0.16</v>
      </c>
      <c r="F306" s="29" t="n">
        <f aca="false">IFERROR(INDEX(Insumos!$F$4:$F$168,MATCH($C306,Insumos!$A$4:$A$168,0)),1)</f>
        <v>0.98</v>
      </c>
      <c r="G306" s="30" t="n">
        <f aca="false">IFERROR(E306/F306,0)</f>
        <v>0.163265306122449</v>
      </c>
      <c r="H306" s="31" t="n">
        <f aca="false">IFERROR(INDEX(Insumos!$G$20:$G$168,MATCH($C306,Insumos!$A$20:$A$168,0)),0)</f>
        <v>1.5</v>
      </c>
      <c r="I306" s="27" t="n">
        <f aca="false">G306*H306</f>
        <v>0.244897959183674</v>
      </c>
    </row>
    <row r="307" customFormat="false" ht="15" hidden="false" customHeight="false" outlineLevel="0" collapsed="false">
      <c r="A307" s="15" t="s">
        <v>517</v>
      </c>
      <c r="B307" s="15" t="s">
        <v>518</v>
      </c>
      <c r="C307" s="16" t="s">
        <v>121</v>
      </c>
      <c r="D307" s="15" t="s">
        <v>122</v>
      </c>
      <c r="E307" s="18" t="n">
        <v>0.007</v>
      </c>
      <c r="F307" s="29" t="n">
        <f aca="false">IFERROR(INDEX(Insumos!$F$4:$F$168,MATCH($C307,Insumos!$A$4:$A$168,0)),1)</f>
        <v>0.98</v>
      </c>
      <c r="G307" s="30" t="n">
        <f aca="false">IFERROR(E307/F307,0)</f>
        <v>0.00714285714285714</v>
      </c>
      <c r="H307" s="31" t="n">
        <f aca="false">IFERROR(INDEX(Insumos!$G$20:$G$168,MATCH($C307,Insumos!$A$20:$A$168,0)),0)</f>
        <v>6</v>
      </c>
      <c r="I307" s="27" t="n">
        <f aca="false">G307*H307</f>
        <v>0.0428571428571429</v>
      </c>
    </row>
    <row r="308" customFormat="false" ht="15" hidden="false" customHeight="false" outlineLevel="0" collapsed="false">
      <c r="A308" s="15" t="s">
        <v>517</v>
      </c>
      <c r="B308" s="15" t="s">
        <v>518</v>
      </c>
      <c r="C308" s="16" t="s">
        <v>165</v>
      </c>
      <c r="D308" s="15" t="s">
        <v>166</v>
      </c>
      <c r="E308" s="18" t="n">
        <v>0.16</v>
      </c>
      <c r="F308" s="29" t="n">
        <f aca="false">IFERROR(INDEX(Insumos!$F$4:$F$168,MATCH($C308,Insumos!$A$4:$A$168,0)),1)</f>
        <v>0.98</v>
      </c>
      <c r="G308" s="30" t="n">
        <f aca="false">IFERROR(E308/F308,0)</f>
        <v>0.163265306122449</v>
      </c>
      <c r="H308" s="31" t="n">
        <f aca="false">IFERROR(INDEX(Insumos!$G$20:$G$168,MATCH($C308,Insumos!$A$20:$A$168,0)),0)</f>
        <v>69.9</v>
      </c>
      <c r="I308" s="27" t="n">
        <f aca="false">G308*H308</f>
        <v>11.4122448979592</v>
      </c>
    </row>
    <row r="309" customFormat="false" ht="15" hidden="false" customHeight="false" outlineLevel="0" collapsed="false">
      <c r="A309" s="15" t="s">
        <v>517</v>
      </c>
      <c r="B309" s="15" t="s">
        <v>518</v>
      </c>
      <c r="C309" s="16" t="s">
        <v>208</v>
      </c>
      <c r="D309" s="15" t="s">
        <v>209</v>
      </c>
      <c r="E309" s="18" t="n">
        <v>0.08</v>
      </c>
      <c r="F309" s="29" t="n">
        <f aca="false">IFERROR(INDEX(Insumos!$F$4:$F$168,MATCH($C309,Insumos!$A$4:$A$168,0)),1)</f>
        <v>0.98</v>
      </c>
      <c r="G309" s="30" t="n">
        <f aca="false">IFERROR(E309/F309,0)</f>
        <v>0.0816326530612245</v>
      </c>
      <c r="H309" s="31" t="n">
        <f aca="false">IFERROR(INDEX(Insumos!$G$20:$G$168,MATCH($C309,Insumos!$A$20:$A$168,0)),0)</f>
        <v>65</v>
      </c>
      <c r="I309" s="27" t="n">
        <f aca="false">G309*H309</f>
        <v>5.30612244897959</v>
      </c>
    </row>
    <row r="310" customFormat="false" ht="15" hidden="false" customHeight="false" outlineLevel="0" collapsed="false">
      <c r="A310" s="15" t="s">
        <v>517</v>
      </c>
      <c r="B310" s="15" t="s">
        <v>518</v>
      </c>
      <c r="C310" s="16" t="s">
        <v>214</v>
      </c>
      <c r="D310" s="15" t="s">
        <v>215</v>
      </c>
      <c r="E310" s="18" t="n">
        <v>0.02</v>
      </c>
      <c r="F310" s="29" t="n">
        <f aca="false">IFERROR(INDEX(Insumos!$F$4:$F$168,MATCH($C310,Insumos!$A$4:$A$168,0)),1)</f>
        <v>0.98</v>
      </c>
      <c r="G310" s="30" t="n">
        <f aca="false">IFERROR(E310/F310,0)</f>
        <v>0.0204081632653061</v>
      </c>
      <c r="H310" s="31" t="n">
        <f aca="false">IFERROR(INDEX(Insumos!$G$20:$G$168,MATCH($C310,Insumos!$A$20:$A$168,0)),0)</f>
        <v>22.5</v>
      </c>
      <c r="I310" s="27" t="n">
        <f aca="false">G310*H310</f>
        <v>0.459183673469388</v>
      </c>
    </row>
    <row r="311" customFormat="false" ht="15" hidden="false" customHeight="false" outlineLevel="0" collapsed="false">
      <c r="A311" s="15" t="s">
        <v>517</v>
      </c>
      <c r="B311" s="15" t="s">
        <v>518</v>
      </c>
      <c r="C311" s="16" t="s">
        <v>349</v>
      </c>
      <c r="D311" s="15" t="s">
        <v>350</v>
      </c>
      <c r="E311" s="18" t="n">
        <v>0.01</v>
      </c>
      <c r="F311" s="29" t="n">
        <f aca="false">IFERROR(INDEX(Insumos!$F$4:$F$168,MATCH($C311,Insumos!$A$4:$A$168,0)),1)</f>
        <v>0.98</v>
      </c>
      <c r="G311" s="30" t="n">
        <f aca="false">IFERROR(E311/F311,0)</f>
        <v>0.0102040816326531</v>
      </c>
      <c r="H311" s="31" t="n">
        <f aca="false">IFERROR(INDEX(Insumos!$G$20:$G$168,MATCH($C311,Insumos!$A$20:$A$168,0)),0)</f>
        <v>54.4</v>
      </c>
      <c r="I311" s="27" t="n">
        <f aca="false">G311*H311</f>
        <v>0.555102040816327</v>
      </c>
    </row>
    <row r="312" customFormat="false" ht="15" hidden="false" customHeight="false" outlineLevel="0" collapsed="false">
      <c r="A312" s="15" t="s">
        <v>517</v>
      </c>
      <c r="B312" s="15" t="s">
        <v>518</v>
      </c>
      <c r="C312" s="16" t="s">
        <v>366</v>
      </c>
      <c r="D312" s="15" t="s">
        <v>367</v>
      </c>
      <c r="E312" s="18" t="n">
        <v>0.004</v>
      </c>
      <c r="F312" s="29" t="n">
        <f aca="false">IFERROR(INDEX(Insumos!$F$4:$F$168,MATCH($C312,Insumos!$A$4:$A$168,0)),1)</f>
        <v>0.98</v>
      </c>
      <c r="G312" s="30" t="n">
        <f aca="false">IFERROR(E312/F312,0)</f>
        <v>0.00408163265306123</v>
      </c>
      <c r="H312" s="31" t="n">
        <f aca="false">IFERROR(INDEX(Insumos!$G$20:$G$168,MATCH($C312,Insumos!$A$20:$A$168,0)),0)</f>
        <v>5</v>
      </c>
      <c r="I312" s="27" t="n">
        <f aca="false">G312*H312</f>
        <v>0.0204081632653061</v>
      </c>
    </row>
    <row r="313" customFormat="false" ht="15" hidden="false" customHeight="false" outlineLevel="0" collapsed="false">
      <c r="A313" s="15" t="s">
        <v>517</v>
      </c>
      <c r="B313" s="15" t="s">
        <v>518</v>
      </c>
      <c r="C313" s="16" t="s">
        <v>225</v>
      </c>
      <c r="D313" s="15" t="s">
        <v>226</v>
      </c>
      <c r="E313" s="18" t="n">
        <v>0.004</v>
      </c>
      <c r="F313" s="29" t="n">
        <f aca="false">IFERROR(INDEX(Insumos!$F$4:$F$168,MATCH($C313,Insumos!$A$4:$A$168,0)),1)</f>
        <v>0.98</v>
      </c>
      <c r="G313" s="30" t="n">
        <f aca="false">IFERROR(E313/F313,0)</f>
        <v>0.00408163265306123</v>
      </c>
      <c r="H313" s="31" t="n">
        <f aca="false">IFERROR(INDEX(Insumos!$G$20:$G$168,MATCH($C313,Insumos!$A$20:$A$168,0)),0)</f>
        <v>14.9</v>
      </c>
      <c r="I313" s="27" t="n">
        <f aca="false">G313*H313</f>
        <v>0.0608163265306123</v>
      </c>
    </row>
    <row r="314" customFormat="false" ht="15" hidden="false" customHeight="false" outlineLevel="0" collapsed="false">
      <c r="A314" s="15" t="s">
        <v>517</v>
      </c>
      <c r="B314" s="15" t="s">
        <v>518</v>
      </c>
      <c r="C314" s="16" t="s">
        <v>256</v>
      </c>
      <c r="D314" s="15" t="s">
        <v>257</v>
      </c>
      <c r="E314" s="18" t="n">
        <v>0.002</v>
      </c>
      <c r="F314" s="29" t="n">
        <f aca="false">IFERROR(INDEX(Insumos!$F$4:$F$168,MATCH($C314,Insumos!$A$4:$A$168,0)),1)</f>
        <v>0.98</v>
      </c>
      <c r="G314" s="30" t="n">
        <f aca="false">IFERROR(E314/F314,0)</f>
        <v>0.00204081632653061</v>
      </c>
      <c r="H314" s="31" t="n">
        <f aca="false">IFERROR(INDEX(Insumos!$G$20:$G$168,MATCH($C314,Insumos!$A$20:$A$168,0)),0)</f>
        <v>36.86</v>
      </c>
      <c r="I314" s="27" t="n">
        <f aca="false">G314*H314</f>
        <v>0.0752244897959184</v>
      </c>
    </row>
    <row r="315" customFormat="false" ht="15" hidden="false" customHeight="false" outlineLevel="0" collapsed="false">
      <c r="A315" s="15" t="s">
        <v>517</v>
      </c>
      <c r="B315" s="15" t="s">
        <v>518</v>
      </c>
      <c r="C315" s="16" t="s">
        <v>228</v>
      </c>
      <c r="D315" s="15" t="s">
        <v>229</v>
      </c>
      <c r="E315" s="18" t="n">
        <v>0.004</v>
      </c>
      <c r="F315" s="29" t="n">
        <f aca="false">IFERROR(INDEX(Insumos!$F$4:$F$168,MATCH($C315,Insumos!$A$4:$A$168,0)),1)</f>
        <v>0.98</v>
      </c>
      <c r="G315" s="30" t="n">
        <f aca="false">IFERROR(E315/F315,0)</f>
        <v>0.00408163265306123</v>
      </c>
      <c r="H315" s="31" t="n">
        <f aca="false">IFERROR(INDEX(Insumos!$G$20:$G$168,MATCH($C315,Insumos!$A$20:$A$168,0)),0)</f>
        <v>55.96</v>
      </c>
      <c r="I315" s="27" t="n">
        <f aca="false">G315*H315</f>
        <v>0.228408163265306</v>
      </c>
    </row>
    <row r="316" customFormat="false" ht="15" hidden="false" customHeight="false" outlineLevel="0" collapsed="false">
      <c r="A316" s="15" t="s">
        <v>77</v>
      </c>
      <c r="B316" s="15" t="s">
        <v>78</v>
      </c>
      <c r="C316" s="16" t="s">
        <v>210</v>
      </c>
      <c r="D316" s="15" t="s">
        <v>211</v>
      </c>
      <c r="E316" s="18" t="n">
        <v>0.1</v>
      </c>
      <c r="F316" s="29" t="n">
        <f aca="false">IFERROR(INDEX(Insumos!$F$4:$F$168,MATCH($C316,Insumos!$A$4:$A$168,0)),1)</f>
        <v>0.98</v>
      </c>
      <c r="G316" s="30" t="n">
        <f aca="false">IFERROR(E316/F316,0)</f>
        <v>0.102040816326531</v>
      </c>
      <c r="H316" s="31" t="n">
        <f aca="false">IFERROR(INDEX(Insumos!$G$20:$G$168,MATCH($C316,Insumos!$A$20:$A$168,0)),0)</f>
        <v>7.49</v>
      </c>
      <c r="I316" s="27" t="n">
        <f aca="false">G316*H316</f>
        <v>0.764285714285714</v>
      </c>
    </row>
    <row r="317" customFormat="false" ht="15" hidden="false" customHeight="false" outlineLevel="0" collapsed="false">
      <c r="A317" s="15" t="s">
        <v>77</v>
      </c>
      <c r="B317" s="15" t="s">
        <v>78</v>
      </c>
      <c r="C317" s="16" t="s">
        <v>212</v>
      </c>
      <c r="D317" s="15" t="s">
        <v>213</v>
      </c>
      <c r="E317" s="18" t="n">
        <v>0.1</v>
      </c>
      <c r="F317" s="29" t="n">
        <f aca="false">IFERROR(INDEX(Insumos!$F$4:$F$168,MATCH($C317,Insumos!$A$4:$A$168,0)),1)</f>
        <v>0.98</v>
      </c>
      <c r="G317" s="30" t="n">
        <f aca="false">IFERROR(E317/F317,0)</f>
        <v>0.102040816326531</v>
      </c>
      <c r="H317" s="31" t="n">
        <f aca="false">IFERROR(INDEX(Insumos!$G$20:$G$168,MATCH($C317,Insumos!$A$20:$A$168,0)),0)</f>
        <v>9.5</v>
      </c>
      <c r="I317" s="27" t="n">
        <f aca="false">G317*H317</f>
        <v>0.969387755102041</v>
      </c>
    </row>
    <row r="318" customFormat="false" ht="15" hidden="false" customHeight="false" outlineLevel="0" collapsed="false">
      <c r="A318" s="15" t="s">
        <v>77</v>
      </c>
      <c r="B318" s="15" t="s">
        <v>78</v>
      </c>
      <c r="C318" s="16" t="s">
        <v>109</v>
      </c>
      <c r="D318" s="15" t="s">
        <v>110</v>
      </c>
      <c r="E318" s="18" t="n">
        <v>0.07</v>
      </c>
      <c r="F318" s="29" t="n">
        <f aca="false">IFERROR(INDEX(Insumos!$F$4:$F$168,MATCH($C318,Insumos!$A$4:$A$168,0)),1)</f>
        <v>0.98</v>
      </c>
      <c r="G318" s="30" t="n">
        <f aca="false">IFERROR(E318/F318,0)</f>
        <v>0.0714285714285714</v>
      </c>
      <c r="H318" s="31" t="n">
        <f aca="false">IFERROR(INDEX(Insumos!$G$20:$G$168,MATCH($C318,Insumos!$A$20:$A$168,0)),0)</f>
        <v>4</v>
      </c>
      <c r="I318" s="27" t="n">
        <f aca="false">G318*H318</f>
        <v>0.285714285714286</v>
      </c>
    </row>
    <row r="319" customFormat="false" ht="15" hidden="false" customHeight="false" outlineLevel="0" collapsed="false">
      <c r="A319" s="15" t="s">
        <v>77</v>
      </c>
      <c r="B319" s="15" t="s">
        <v>78</v>
      </c>
      <c r="C319" s="16" t="s">
        <v>344</v>
      </c>
      <c r="D319" s="15" t="s">
        <v>345</v>
      </c>
      <c r="E319" s="18" t="n">
        <v>0.07</v>
      </c>
      <c r="F319" s="29" t="n">
        <f aca="false">IFERROR(INDEX(Insumos!$F$4:$F$168,MATCH($C319,Insumos!$A$4:$A$168,0)),1)</f>
        <v>0.98</v>
      </c>
      <c r="G319" s="30" t="n">
        <f aca="false">IFERROR(E319/F319,0)</f>
        <v>0.0714285714285714</v>
      </c>
      <c r="H319" s="31" t="n">
        <f aca="false">IFERROR(INDEX(Insumos!$G$20:$G$168,MATCH($C319,Insumos!$A$20:$A$168,0)),0)</f>
        <v>12</v>
      </c>
      <c r="I319" s="27" t="n">
        <f aca="false">G319*H319</f>
        <v>0.857142857142857</v>
      </c>
    </row>
    <row r="320" customFormat="false" ht="15" hidden="false" customHeight="false" outlineLevel="0" collapsed="false">
      <c r="A320" s="15" t="s">
        <v>77</v>
      </c>
      <c r="B320" s="15" t="s">
        <v>78</v>
      </c>
      <c r="C320" s="16" t="s">
        <v>237</v>
      </c>
      <c r="D320" s="15" t="s">
        <v>238</v>
      </c>
      <c r="E320" s="18" t="n">
        <v>0.05</v>
      </c>
      <c r="F320" s="29" t="n">
        <f aca="false">IFERROR(INDEX(Insumos!$F$4:$F$168,MATCH($C320,Insumos!$A$4:$A$168,0)),1)</f>
        <v>0.98</v>
      </c>
      <c r="G320" s="30" t="n">
        <f aca="false">IFERROR(E320/F320,0)</f>
        <v>0.0510204081632653</v>
      </c>
      <c r="H320" s="31" t="n">
        <f aca="false">IFERROR(INDEX(Insumos!$G$20:$G$168,MATCH($C320,Insumos!$A$20:$A$168,0)),0)</f>
        <v>15</v>
      </c>
      <c r="I320" s="27" t="n">
        <f aca="false">G320*H320</f>
        <v>0.76530612244898</v>
      </c>
    </row>
    <row r="321" customFormat="false" ht="15" hidden="false" customHeight="false" outlineLevel="0" collapsed="false">
      <c r="A321" s="15" t="s">
        <v>77</v>
      </c>
      <c r="B321" s="15" t="s">
        <v>78</v>
      </c>
      <c r="C321" s="16" t="s">
        <v>121</v>
      </c>
      <c r="D321" s="15" t="s">
        <v>122</v>
      </c>
      <c r="E321" s="18" t="n">
        <v>0.04</v>
      </c>
      <c r="F321" s="29" t="n">
        <f aca="false">IFERROR(INDEX(Insumos!$F$4:$F$168,MATCH($C321,Insumos!$A$4:$A$168,0)),1)</f>
        <v>0.98</v>
      </c>
      <c r="G321" s="30" t="n">
        <f aca="false">IFERROR(E321/F321,0)</f>
        <v>0.0408163265306123</v>
      </c>
      <c r="H321" s="31" t="n">
        <f aca="false">IFERROR(INDEX(Insumos!$G$20:$G$168,MATCH($C321,Insumos!$A$20:$A$168,0)),0)</f>
        <v>6</v>
      </c>
      <c r="I321" s="27" t="n">
        <f aca="false">G321*H321</f>
        <v>0.244897959183674</v>
      </c>
    </row>
    <row r="322" customFormat="false" ht="15" hidden="false" customHeight="false" outlineLevel="0" collapsed="false">
      <c r="A322" s="15" t="s">
        <v>77</v>
      </c>
      <c r="B322" s="15" t="s">
        <v>78</v>
      </c>
      <c r="C322" s="16" t="s">
        <v>366</v>
      </c>
      <c r="D322" s="15" t="s">
        <v>367</v>
      </c>
      <c r="E322" s="18" t="n">
        <v>0.005</v>
      </c>
      <c r="F322" s="29" t="n">
        <f aca="false">IFERROR(INDEX(Insumos!$F$4:$F$168,MATCH($C322,Insumos!$A$4:$A$168,0)),1)</f>
        <v>0.98</v>
      </c>
      <c r="G322" s="30" t="n">
        <f aca="false">IFERROR(E322/F322,0)</f>
        <v>0.00510204081632653</v>
      </c>
      <c r="H322" s="31" t="n">
        <f aca="false">IFERROR(INDEX(Insumos!$G$20:$G$168,MATCH($C322,Insumos!$A$20:$A$168,0)),0)</f>
        <v>5</v>
      </c>
      <c r="I322" s="27" t="n">
        <f aca="false">G322*H322</f>
        <v>0.0255102040816327</v>
      </c>
    </row>
    <row r="323" customFormat="false" ht="15" hidden="false" customHeight="false" outlineLevel="0" collapsed="false">
      <c r="A323" s="15" t="s">
        <v>77</v>
      </c>
      <c r="B323" s="15" t="s">
        <v>78</v>
      </c>
      <c r="C323" s="16" t="s">
        <v>225</v>
      </c>
      <c r="D323" s="15" t="s">
        <v>226</v>
      </c>
      <c r="E323" s="18" t="n">
        <v>0.01</v>
      </c>
      <c r="F323" s="29" t="n">
        <f aca="false">IFERROR(INDEX(Insumos!$F$4:$F$168,MATCH($C323,Insumos!$A$4:$A$168,0)),1)</f>
        <v>0.98</v>
      </c>
      <c r="G323" s="30" t="n">
        <f aca="false">IFERROR(E323/F323,0)</f>
        <v>0.0102040816326531</v>
      </c>
      <c r="H323" s="31" t="n">
        <f aca="false">IFERROR(INDEX(Insumos!$G$20:$G$168,MATCH($C323,Insumos!$A$20:$A$168,0)),0)</f>
        <v>14.9</v>
      </c>
      <c r="I323" s="27" t="n">
        <f aca="false">G323*H323</f>
        <v>0.152040816326531</v>
      </c>
    </row>
    <row r="324" customFormat="false" ht="15" hidden="false" customHeight="false" outlineLevel="0" collapsed="false">
      <c r="A324" s="15" t="s">
        <v>77</v>
      </c>
      <c r="B324" s="15" t="s">
        <v>78</v>
      </c>
      <c r="C324" s="16" t="s">
        <v>228</v>
      </c>
      <c r="D324" s="15" t="s">
        <v>229</v>
      </c>
      <c r="E324" s="18" t="n">
        <v>0.007</v>
      </c>
      <c r="F324" s="29" t="n">
        <f aca="false">IFERROR(INDEX(Insumos!$F$4:$F$168,MATCH($C324,Insumos!$A$4:$A$168,0)),1)</f>
        <v>0.98</v>
      </c>
      <c r="G324" s="30" t="n">
        <f aca="false">IFERROR(E324/F324,0)</f>
        <v>0.00714285714285714</v>
      </c>
      <c r="H324" s="31" t="n">
        <f aca="false">IFERROR(INDEX(Insumos!$G$20:$G$168,MATCH($C324,Insumos!$A$20:$A$168,0)),0)</f>
        <v>55.96</v>
      </c>
      <c r="I324" s="27" t="n">
        <f aca="false">G324*H324</f>
        <v>0.399714285714286</v>
      </c>
    </row>
    <row r="325" customFormat="false" ht="15" hidden="false" customHeight="false" outlineLevel="0" collapsed="false">
      <c r="A325" s="15" t="s">
        <v>77</v>
      </c>
      <c r="B325" s="15" t="s">
        <v>78</v>
      </c>
      <c r="C325" s="16" t="s">
        <v>256</v>
      </c>
      <c r="D325" s="15" t="s">
        <v>257</v>
      </c>
      <c r="E325" s="18" t="n">
        <v>0.005</v>
      </c>
      <c r="F325" s="29" t="n">
        <f aca="false">IFERROR(INDEX(Insumos!$F$4:$F$168,MATCH($C325,Insumos!$A$4:$A$168,0)),1)</f>
        <v>0.98</v>
      </c>
      <c r="G325" s="30" t="n">
        <f aca="false">IFERROR(E325/F325,0)</f>
        <v>0.00510204081632653</v>
      </c>
      <c r="H325" s="31" t="n">
        <f aca="false">IFERROR(INDEX(Insumos!$G$20:$G$168,MATCH($C325,Insumos!$A$20:$A$168,0)),0)</f>
        <v>36.86</v>
      </c>
      <c r="I325" s="27" t="n">
        <f aca="false">G325*H325</f>
        <v>0.188061224489796</v>
      </c>
    </row>
    <row r="326" customFormat="false" ht="15" hidden="false" customHeight="false" outlineLevel="0" collapsed="false">
      <c r="A326" s="15" t="s">
        <v>77</v>
      </c>
      <c r="B326" s="15" t="s">
        <v>78</v>
      </c>
      <c r="C326" s="16" t="s">
        <v>336</v>
      </c>
      <c r="D326" s="15" t="s">
        <v>337</v>
      </c>
      <c r="E326" s="18" t="n">
        <v>0.1</v>
      </c>
      <c r="F326" s="29" t="n">
        <f aca="false">IFERROR(INDEX(Insumos!$F$4:$F$168,MATCH($C326,Insumos!$A$4:$A$168,0)),1)</f>
        <v>1</v>
      </c>
      <c r="G326" s="30" t="n">
        <f aca="false">IFERROR(E326/F326,0)</f>
        <v>0.1</v>
      </c>
      <c r="H326" s="31" t="n">
        <f aca="false">IFERROR(INDEX(Insumos!$G$20:$G$168,MATCH($C326,Insumos!$A$20:$A$168,0)),0)</f>
        <v>15</v>
      </c>
      <c r="I326" s="27" t="n">
        <f aca="false">G326*H326</f>
        <v>1.5</v>
      </c>
    </row>
    <row r="327" customFormat="false" ht="15" hidden="false" customHeight="false" outlineLevel="0" collapsed="false">
      <c r="A327" s="15" t="s">
        <v>77</v>
      </c>
      <c r="B327" s="15" t="s">
        <v>78</v>
      </c>
      <c r="C327" s="16" t="s">
        <v>403</v>
      </c>
      <c r="D327" s="15" t="s">
        <v>404</v>
      </c>
      <c r="E327" s="18" t="n">
        <v>0.25</v>
      </c>
      <c r="F327" s="29" t="n">
        <f aca="false">IFERROR(INDEX(Insumos!$F$4:$F$168,MATCH($C327,Insumos!$A$4:$A$168,0)),1)</f>
        <v>0.98</v>
      </c>
      <c r="G327" s="30" t="n">
        <f aca="false">IFERROR(E327/F327,0)</f>
        <v>0.255102040816327</v>
      </c>
      <c r="H327" s="31" t="n">
        <f aca="false">IFERROR(INDEX(Insumos!$G$20:$G$168,MATCH($C327,Insumos!$A$20:$A$168,0)),0)</f>
        <v>1.5</v>
      </c>
      <c r="I327" s="27" t="n">
        <f aca="false">G327*H327</f>
        <v>0.38265306122449</v>
      </c>
    </row>
    <row r="328" customFormat="false" ht="15" hidden="false" customHeight="false" outlineLevel="0" collapsed="false">
      <c r="A328" s="15" t="s">
        <v>77</v>
      </c>
      <c r="B328" s="15" t="s">
        <v>78</v>
      </c>
      <c r="C328" s="16" t="s">
        <v>118</v>
      </c>
      <c r="D328" s="15" t="s">
        <v>119</v>
      </c>
      <c r="E328" s="18" t="n">
        <v>0.03</v>
      </c>
      <c r="F328" s="29" t="n">
        <f aca="false">IFERROR(INDEX(Insumos!$F$4:$F$168,MATCH($C328,Insumos!$A$4:$A$168,0)),1)</f>
        <v>0.95</v>
      </c>
      <c r="G328" s="30" t="n">
        <f aca="false">IFERROR(E328/F328,0)</f>
        <v>0.0315789473684211</v>
      </c>
      <c r="H328" s="31" t="n">
        <f aca="false">IFERROR(INDEX(Insumos!$G$20:$G$168,MATCH($C328,Insumos!$A$20:$A$168,0)),0)</f>
        <v>20</v>
      </c>
      <c r="I328" s="27" t="n">
        <f aca="false">G328*H328</f>
        <v>0.631578947368421</v>
      </c>
    </row>
    <row r="329" customFormat="false" ht="15" hidden="false" customHeight="false" outlineLevel="0" collapsed="false">
      <c r="A329" s="15" t="s">
        <v>77</v>
      </c>
      <c r="B329" s="15" t="s">
        <v>78</v>
      </c>
      <c r="C329" s="16" t="s">
        <v>71</v>
      </c>
      <c r="D329" s="15" t="s">
        <v>72</v>
      </c>
      <c r="E329" s="18" t="n">
        <v>0.045</v>
      </c>
      <c r="F329" s="29" t="n">
        <f aca="false">IFERROR(INDEX(Insumos!$F$4:$F$168,MATCH($C329,Insumos!$A$4:$A$168,0)),1)</f>
        <v>1</v>
      </c>
      <c r="G329" s="30" t="n">
        <f aca="false">IFERROR(E329/F329,0)</f>
        <v>0.045</v>
      </c>
      <c r="H329" s="31" t="n">
        <f aca="false">Insumos!$G$14</f>
        <v>45.9219387755102</v>
      </c>
      <c r="I329" s="27" t="n">
        <f aca="false">G329*H329</f>
        <v>2.06648724489796</v>
      </c>
    </row>
    <row r="330" customFormat="false" ht="15" hidden="false" customHeight="false" outlineLevel="0" collapsed="false">
      <c r="A330" s="15" t="s">
        <v>520</v>
      </c>
      <c r="B330" s="15" t="s">
        <v>78</v>
      </c>
      <c r="C330" s="16" t="s">
        <v>111</v>
      </c>
      <c r="D330" s="15" t="s">
        <v>112</v>
      </c>
      <c r="E330" s="18" t="n">
        <v>0.08</v>
      </c>
      <c r="F330" s="29" t="n">
        <f aca="false">IFERROR(INDEX(Insumos!$F$4:$F$168,MATCH($C330,Insumos!$A$4:$A$168,0)),1)</f>
        <v>0.98</v>
      </c>
      <c r="G330" s="30" t="n">
        <f aca="false">IFERROR(E330/F330,0)</f>
        <v>0.0816326530612245</v>
      </c>
      <c r="H330" s="31" t="n">
        <f aca="false">IFERROR(INDEX(Insumos!$G$20:$G$168,MATCH($C330,Insumos!$A$20:$A$168,0)),0)</f>
        <v>16.9</v>
      </c>
      <c r="I330" s="27" t="n">
        <f aca="false">G330*H330</f>
        <v>1.37959183673469</v>
      </c>
    </row>
    <row r="331" customFormat="false" ht="15" hidden="false" customHeight="false" outlineLevel="0" collapsed="false">
      <c r="A331" s="15" t="s">
        <v>520</v>
      </c>
      <c r="B331" s="15" t="s">
        <v>78</v>
      </c>
      <c r="C331" s="16" t="s">
        <v>237</v>
      </c>
      <c r="D331" s="15" t="s">
        <v>238</v>
      </c>
      <c r="E331" s="18" t="n">
        <v>0.08</v>
      </c>
      <c r="F331" s="29" t="n">
        <f aca="false">IFERROR(INDEX(Insumos!$F$4:$F$168,MATCH($C331,Insumos!$A$4:$A$168,0)),1)</f>
        <v>0.98</v>
      </c>
      <c r="G331" s="30" t="n">
        <f aca="false">IFERROR(E331/F331,0)</f>
        <v>0.0816326530612245</v>
      </c>
      <c r="H331" s="31" t="n">
        <f aca="false">IFERROR(INDEX(Insumos!$G$20:$G$168,MATCH($C331,Insumos!$A$20:$A$168,0)),0)</f>
        <v>15</v>
      </c>
      <c r="I331" s="27" t="n">
        <f aca="false">G331*H331</f>
        <v>1.22448979591837</v>
      </c>
    </row>
    <row r="332" customFormat="false" ht="15" hidden="false" customHeight="false" outlineLevel="0" collapsed="false">
      <c r="A332" s="15" t="s">
        <v>520</v>
      </c>
      <c r="B332" s="15" t="s">
        <v>78</v>
      </c>
      <c r="C332" s="16" t="s">
        <v>210</v>
      </c>
      <c r="D332" s="15" t="s">
        <v>211</v>
      </c>
      <c r="E332" s="18" t="n">
        <v>0.075</v>
      </c>
      <c r="F332" s="29" t="n">
        <f aca="false">IFERROR(INDEX(Insumos!$F$4:$F$168,MATCH($C332,Insumos!$A$4:$A$168,0)),1)</f>
        <v>0.98</v>
      </c>
      <c r="G332" s="30" t="n">
        <f aca="false">IFERROR(E332/F332,0)</f>
        <v>0.076530612244898</v>
      </c>
      <c r="H332" s="31" t="n">
        <f aca="false">IFERROR(INDEX(Insumos!$G$20:$G$168,MATCH($C332,Insumos!$A$20:$A$168,0)),0)</f>
        <v>7.49</v>
      </c>
      <c r="I332" s="27" t="n">
        <f aca="false">G332*H332</f>
        <v>0.573214285714286</v>
      </c>
    </row>
    <row r="333" customFormat="false" ht="15" hidden="false" customHeight="false" outlineLevel="0" collapsed="false">
      <c r="A333" s="15" t="s">
        <v>520</v>
      </c>
      <c r="B333" s="15" t="s">
        <v>78</v>
      </c>
      <c r="C333" s="16" t="s">
        <v>344</v>
      </c>
      <c r="D333" s="15" t="s">
        <v>345</v>
      </c>
      <c r="E333" s="18" t="n">
        <v>0.065</v>
      </c>
      <c r="F333" s="29" t="n">
        <f aca="false">IFERROR(INDEX(Insumos!$F$4:$F$168,MATCH($C333,Insumos!$A$4:$A$168,0)),1)</f>
        <v>0.98</v>
      </c>
      <c r="G333" s="30" t="n">
        <f aca="false">IFERROR(E333/F333,0)</f>
        <v>0.0663265306122449</v>
      </c>
      <c r="H333" s="31" t="n">
        <f aca="false">IFERROR(INDEX(Insumos!$G$20:$G$168,MATCH($C333,Insumos!$A$20:$A$168,0)),0)</f>
        <v>12</v>
      </c>
      <c r="I333" s="27" t="n">
        <f aca="false">G333*H333</f>
        <v>0.795918367346939</v>
      </c>
    </row>
    <row r="334" customFormat="false" ht="15" hidden="false" customHeight="false" outlineLevel="0" collapsed="false">
      <c r="A334" s="15" t="s">
        <v>520</v>
      </c>
      <c r="B334" s="15" t="s">
        <v>78</v>
      </c>
      <c r="C334" s="16" t="s">
        <v>366</v>
      </c>
      <c r="D334" s="15" t="s">
        <v>367</v>
      </c>
      <c r="E334" s="18" t="n">
        <v>0.007</v>
      </c>
      <c r="F334" s="29" t="n">
        <f aca="false">IFERROR(INDEX(Insumos!$F$4:$F$168,MATCH($C334,Insumos!$A$4:$A$168,0)),1)</f>
        <v>0.98</v>
      </c>
      <c r="G334" s="30" t="n">
        <f aca="false">IFERROR(E334/F334,0)</f>
        <v>0.00714285714285714</v>
      </c>
      <c r="H334" s="31" t="n">
        <f aca="false">IFERROR(INDEX(Insumos!$G$20:$G$168,MATCH($C334,Insumos!$A$20:$A$168,0)),0)</f>
        <v>5</v>
      </c>
      <c r="I334" s="27" t="n">
        <f aca="false">G334*H334</f>
        <v>0.0357142857142857</v>
      </c>
    </row>
    <row r="335" customFormat="false" ht="15" hidden="false" customHeight="false" outlineLevel="0" collapsed="false">
      <c r="A335" s="15" t="s">
        <v>520</v>
      </c>
      <c r="B335" s="15" t="s">
        <v>78</v>
      </c>
      <c r="C335" s="16" t="s">
        <v>256</v>
      </c>
      <c r="D335" s="15" t="s">
        <v>257</v>
      </c>
      <c r="E335" s="18" t="n">
        <v>0.005</v>
      </c>
      <c r="F335" s="29" t="n">
        <f aca="false">IFERROR(INDEX(Insumos!$F$4:$F$168,MATCH($C335,Insumos!$A$4:$A$168,0)),1)</f>
        <v>0.98</v>
      </c>
      <c r="G335" s="30" t="n">
        <f aca="false">IFERROR(E335/F335,0)</f>
        <v>0.00510204081632653</v>
      </c>
      <c r="H335" s="31" t="n">
        <f aca="false">IFERROR(INDEX(Insumos!$G$20:$G$168,MATCH($C335,Insumos!$A$20:$A$168,0)),0)</f>
        <v>36.86</v>
      </c>
      <c r="I335" s="27" t="n">
        <f aca="false">G335*H335</f>
        <v>0.188061224489796</v>
      </c>
    </row>
    <row r="336" customFormat="false" ht="15" hidden="false" customHeight="false" outlineLevel="0" collapsed="false">
      <c r="A336" s="15" t="s">
        <v>520</v>
      </c>
      <c r="B336" s="15" t="s">
        <v>78</v>
      </c>
      <c r="C336" s="16" t="s">
        <v>228</v>
      </c>
      <c r="D336" s="15" t="s">
        <v>229</v>
      </c>
      <c r="E336" s="18" t="n">
        <v>0.001</v>
      </c>
      <c r="F336" s="29" t="n">
        <f aca="false">IFERROR(INDEX(Insumos!$F$4:$F$168,MATCH($C336,Insumos!$A$4:$A$168,0)),1)</f>
        <v>0.98</v>
      </c>
      <c r="G336" s="30" t="n">
        <f aca="false">IFERROR(E336/F336,0)</f>
        <v>0.00102040816326531</v>
      </c>
      <c r="H336" s="31" t="n">
        <f aca="false">IFERROR(INDEX(Insumos!$G$20:$G$168,MATCH($C336,Insumos!$A$20:$A$168,0)),0)</f>
        <v>55.96</v>
      </c>
      <c r="I336" s="27" t="n">
        <f aca="false">G336*H336</f>
        <v>0.0571020408163265</v>
      </c>
    </row>
    <row r="337" customFormat="false" ht="15" hidden="false" customHeight="false" outlineLevel="0" collapsed="false">
      <c r="A337" s="15" t="s">
        <v>520</v>
      </c>
      <c r="B337" s="15" t="s">
        <v>78</v>
      </c>
      <c r="C337" s="16" t="s">
        <v>336</v>
      </c>
      <c r="D337" s="15" t="s">
        <v>337</v>
      </c>
      <c r="E337" s="18" t="n">
        <v>0.165</v>
      </c>
      <c r="F337" s="29" t="n">
        <f aca="false">IFERROR(INDEX(Insumos!$F$4:$F$168,MATCH($C337,Insumos!$A$4:$A$168,0)),1)</f>
        <v>1</v>
      </c>
      <c r="G337" s="30" t="n">
        <f aca="false">IFERROR(E337/F337,0)</f>
        <v>0.165</v>
      </c>
      <c r="H337" s="31" t="n">
        <f aca="false">IFERROR(INDEX(Insumos!$G$20:$G$168,MATCH($C337,Insumos!$A$20:$A$168,0)),0)</f>
        <v>15</v>
      </c>
      <c r="I337" s="27" t="n">
        <f aca="false">G337*H337</f>
        <v>2.475</v>
      </c>
    </row>
    <row r="338" customFormat="false" ht="15" hidden="false" customHeight="false" outlineLevel="0" collapsed="false">
      <c r="A338" s="15" t="s">
        <v>520</v>
      </c>
      <c r="B338" s="15" t="s">
        <v>78</v>
      </c>
      <c r="C338" s="16" t="s">
        <v>118</v>
      </c>
      <c r="D338" s="15" t="s">
        <v>119</v>
      </c>
      <c r="E338" s="18" t="n">
        <v>0.04</v>
      </c>
      <c r="F338" s="29" t="n">
        <f aca="false">IFERROR(INDEX(Insumos!$F$4:$F$168,MATCH($C338,Insumos!$A$4:$A$168,0)),1)</f>
        <v>0.95</v>
      </c>
      <c r="G338" s="30" t="n">
        <f aca="false">IFERROR(E338/F338,0)</f>
        <v>0.0421052631578947</v>
      </c>
      <c r="H338" s="31" t="n">
        <f aca="false">IFERROR(INDEX(Insumos!$G$20:$G$168,MATCH($C338,Insumos!$A$20:$A$168,0)),0)</f>
        <v>20</v>
      </c>
      <c r="I338" s="27" t="n">
        <f aca="false">G338*H338</f>
        <v>0.842105263157895</v>
      </c>
    </row>
    <row r="339" customFormat="false" ht="15" hidden="false" customHeight="false" outlineLevel="0" collapsed="false">
      <c r="A339" s="15" t="s">
        <v>520</v>
      </c>
      <c r="B339" s="15" t="s">
        <v>78</v>
      </c>
      <c r="C339" s="16" t="s">
        <v>349</v>
      </c>
      <c r="D339" s="15" t="s">
        <v>350</v>
      </c>
      <c r="E339" s="18" t="n">
        <v>0.004</v>
      </c>
      <c r="F339" s="29" t="n">
        <f aca="false">IFERROR(INDEX(Insumos!$F$4:$F$168,MATCH($C339,Insumos!$A$4:$A$168,0)),1)</f>
        <v>0.98</v>
      </c>
      <c r="G339" s="30" t="n">
        <f aca="false">IFERROR(E339/F339,0)</f>
        <v>0.00408163265306123</v>
      </c>
      <c r="H339" s="31" t="n">
        <f aca="false">IFERROR(INDEX(Insumos!$G$20:$G$168,MATCH($C339,Insumos!$A$20:$A$168,0)),0)</f>
        <v>54.4</v>
      </c>
      <c r="I339" s="27" t="n">
        <f aca="false">G339*H339</f>
        <v>0.222040816326531</v>
      </c>
    </row>
    <row r="340" customFormat="false" ht="15" hidden="false" customHeight="false" outlineLevel="0" collapsed="false">
      <c r="A340" s="15" t="s">
        <v>520</v>
      </c>
      <c r="B340" s="15" t="s">
        <v>78</v>
      </c>
      <c r="C340" s="16" t="s">
        <v>403</v>
      </c>
      <c r="D340" s="15" t="s">
        <v>404</v>
      </c>
      <c r="E340" s="18" t="n">
        <v>0.165</v>
      </c>
      <c r="F340" s="29" t="n">
        <f aca="false">IFERROR(INDEX(Insumos!$F$4:$F$168,MATCH($C340,Insumos!$A$4:$A$168,0)),1)</f>
        <v>0.98</v>
      </c>
      <c r="G340" s="30" t="n">
        <f aca="false">IFERROR(E340/F340,0)</f>
        <v>0.168367346938776</v>
      </c>
      <c r="H340" s="31" t="n">
        <f aca="false">IFERROR(INDEX(Insumos!$G$20:$G$168,MATCH($C340,Insumos!$A$20:$A$168,0)),0)</f>
        <v>1.5</v>
      </c>
      <c r="I340" s="27" t="n">
        <f aca="false">G340*H340</f>
        <v>0.252551020408163</v>
      </c>
    </row>
    <row r="341" customFormat="false" ht="15" hidden="false" customHeight="false" outlineLevel="0" collapsed="false">
      <c r="A341" s="15" t="s">
        <v>520</v>
      </c>
      <c r="B341" s="15" t="s">
        <v>78</v>
      </c>
      <c r="C341" s="16" t="s">
        <v>121</v>
      </c>
      <c r="D341" s="15" t="s">
        <v>122</v>
      </c>
      <c r="E341" s="18" t="n">
        <v>0.025</v>
      </c>
      <c r="F341" s="29" t="n">
        <f aca="false">IFERROR(INDEX(Insumos!$F$4:$F$168,MATCH($C341,Insumos!$A$4:$A$168,0)),1)</f>
        <v>0.98</v>
      </c>
      <c r="G341" s="30" t="n">
        <f aca="false">IFERROR(E341/F341,0)</f>
        <v>0.0255102040816327</v>
      </c>
      <c r="H341" s="31" t="n">
        <f aca="false">IFERROR(INDEX(Insumos!$G$20:$G$168,MATCH($C341,Insumos!$A$20:$A$168,0)),0)</f>
        <v>6</v>
      </c>
      <c r="I341" s="27" t="n">
        <f aca="false">G341*H341</f>
        <v>0.153061224489796</v>
      </c>
    </row>
    <row r="342" customFormat="false" ht="15" hidden="false" customHeight="false" outlineLevel="0" collapsed="false">
      <c r="A342" s="15" t="s">
        <v>520</v>
      </c>
      <c r="B342" s="15" t="s">
        <v>78</v>
      </c>
      <c r="C342" s="16" t="s">
        <v>225</v>
      </c>
      <c r="D342" s="15" t="s">
        <v>226</v>
      </c>
      <c r="E342" s="18" t="n">
        <v>0.004</v>
      </c>
      <c r="F342" s="29" t="n">
        <f aca="false">IFERROR(INDEX(Insumos!$F$4:$F$168,MATCH($C342,Insumos!$A$4:$A$168,0)),1)</f>
        <v>0.98</v>
      </c>
      <c r="G342" s="30" t="n">
        <f aca="false">IFERROR(E342/F342,0)</f>
        <v>0.00408163265306123</v>
      </c>
      <c r="H342" s="31" t="n">
        <f aca="false">IFERROR(INDEX(Insumos!$G$20:$G$168,MATCH($C342,Insumos!$A$20:$A$168,0)),0)</f>
        <v>14.9</v>
      </c>
      <c r="I342" s="27" t="n">
        <f aca="false">G342*H342</f>
        <v>0.0608163265306123</v>
      </c>
    </row>
    <row r="343" customFormat="false" ht="15" hidden="false" customHeight="false" outlineLevel="0" collapsed="false">
      <c r="A343" s="15" t="s">
        <v>521</v>
      </c>
      <c r="B343" s="15" t="s">
        <v>522</v>
      </c>
      <c r="C343" s="16" t="s">
        <v>210</v>
      </c>
      <c r="D343" s="15" t="s">
        <v>211</v>
      </c>
      <c r="E343" s="18" t="n">
        <v>0.15</v>
      </c>
      <c r="F343" s="29" t="n">
        <f aca="false">IFERROR(INDEX(Insumos!$F$4:$F$168,MATCH($C343,Insumos!$A$4:$A$168,0)),1)</f>
        <v>0.98</v>
      </c>
      <c r="G343" s="30" t="n">
        <f aca="false">IFERROR(E343/F343,0)</f>
        <v>0.153061224489796</v>
      </c>
      <c r="H343" s="31" t="n">
        <f aca="false">IFERROR(INDEX(Insumos!$G$20:$G$168,MATCH($C343,Insumos!$A$20:$A$168,0)),0)</f>
        <v>7.49</v>
      </c>
      <c r="I343" s="27" t="n">
        <f aca="false">G343*H343</f>
        <v>1.14642857142857</v>
      </c>
    </row>
    <row r="344" customFormat="false" ht="15" hidden="false" customHeight="false" outlineLevel="0" collapsed="false">
      <c r="A344" s="15" t="s">
        <v>521</v>
      </c>
      <c r="B344" s="15" t="s">
        <v>522</v>
      </c>
      <c r="C344" s="16" t="s">
        <v>212</v>
      </c>
      <c r="D344" s="15" t="s">
        <v>213</v>
      </c>
      <c r="E344" s="18" t="n">
        <v>0.15</v>
      </c>
      <c r="F344" s="29" t="n">
        <f aca="false">IFERROR(INDEX(Insumos!$F$4:$F$168,MATCH($C344,Insumos!$A$4:$A$168,0)),1)</f>
        <v>0.98</v>
      </c>
      <c r="G344" s="30" t="n">
        <f aca="false">IFERROR(E344/F344,0)</f>
        <v>0.153061224489796</v>
      </c>
      <c r="H344" s="31" t="n">
        <f aca="false">IFERROR(INDEX(Insumos!$G$20:$G$168,MATCH($C344,Insumos!$A$20:$A$168,0)),0)</f>
        <v>9.5</v>
      </c>
      <c r="I344" s="27" t="n">
        <f aca="false">G344*H344</f>
        <v>1.45408163265306</v>
      </c>
    </row>
    <row r="345" customFormat="false" ht="15" hidden="false" customHeight="false" outlineLevel="0" collapsed="false">
      <c r="A345" s="15" t="s">
        <v>521</v>
      </c>
      <c r="B345" s="15" t="s">
        <v>522</v>
      </c>
      <c r="C345" s="16" t="s">
        <v>109</v>
      </c>
      <c r="D345" s="15" t="s">
        <v>110</v>
      </c>
      <c r="E345" s="18" t="n">
        <v>0.105</v>
      </c>
      <c r="F345" s="29" t="n">
        <f aca="false">IFERROR(INDEX(Insumos!$F$4:$F$168,MATCH($C345,Insumos!$A$4:$A$168,0)),1)</f>
        <v>0.98</v>
      </c>
      <c r="G345" s="30" t="n">
        <f aca="false">IFERROR(E345/F345,0)</f>
        <v>0.107142857142857</v>
      </c>
      <c r="H345" s="31" t="n">
        <f aca="false">IFERROR(INDEX(Insumos!$G$20:$G$168,MATCH($C345,Insumos!$A$20:$A$168,0)),0)</f>
        <v>4</v>
      </c>
      <c r="I345" s="27" t="n">
        <f aca="false">G345*H345</f>
        <v>0.428571428571429</v>
      </c>
    </row>
    <row r="346" customFormat="false" ht="15" hidden="false" customHeight="false" outlineLevel="0" collapsed="false">
      <c r="A346" s="15" t="s">
        <v>521</v>
      </c>
      <c r="B346" s="15" t="s">
        <v>522</v>
      </c>
      <c r="C346" s="16" t="s">
        <v>344</v>
      </c>
      <c r="D346" s="15" t="s">
        <v>345</v>
      </c>
      <c r="E346" s="18" t="n">
        <v>0.105</v>
      </c>
      <c r="F346" s="29" t="n">
        <f aca="false">IFERROR(INDEX(Insumos!$F$4:$F$168,MATCH($C346,Insumos!$A$4:$A$168,0)),1)</f>
        <v>0.98</v>
      </c>
      <c r="G346" s="30" t="n">
        <f aca="false">IFERROR(E346/F346,0)</f>
        <v>0.107142857142857</v>
      </c>
      <c r="H346" s="31" t="n">
        <f aca="false">IFERROR(INDEX(Insumos!$G$20:$G$168,MATCH($C346,Insumos!$A$20:$A$168,0)),0)</f>
        <v>12</v>
      </c>
      <c r="I346" s="27" t="n">
        <f aca="false">G346*H346</f>
        <v>1.28571428571429</v>
      </c>
    </row>
    <row r="347" customFormat="false" ht="15" hidden="false" customHeight="false" outlineLevel="0" collapsed="false">
      <c r="A347" s="15" t="s">
        <v>521</v>
      </c>
      <c r="B347" s="15" t="s">
        <v>522</v>
      </c>
      <c r="C347" s="16" t="s">
        <v>237</v>
      </c>
      <c r="D347" s="15" t="s">
        <v>238</v>
      </c>
      <c r="E347" s="18" t="n">
        <v>0.075</v>
      </c>
      <c r="F347" s="29" t="n">
        <f aca="false">IFERROR(INDEX(Insumos!$F$4:$F$168,MATCH($C347,Insumos!$A$4:$A$168,0)),1)</f>
        <v>0.98</v>
      </c>
      <c r="G347" s="30" t="n">
        <f aca="false">IFERROR(E347/F347,0)</f>
        <v>0.076530612244898</v>
      </c>
      <c r="H347" s="31" t="n">
        <f aca="false">IFERROR(INDEX(Insumos!$G$20:$G$168,MATCH($C347,Insumos!$A$20:$A$168,0)),0)</f>
        <v>15</v>
      </c>
      <c r="I347" s="27" t="n">
        <f aca="false">G347*H347</f>
        <v>1.14795918367347</v>
      </c>
    </row>
    <row r="348" customFormat="false" ht="15" hidden="false" customHeight="false" outlineLevel="0" collapsed="false">
      <c r="A348" s="15" t="s">
        <v>521</v>
      </c>
      <c r="B348" s="15" t="s">
        <v>522</v>
      </c>
      <c r="C348" s="16" t="s">
        <v>121</v>
      </c>
      <c r="D348" s="15" t="s">
        <v>122</v>
      </c>
      <c r="E348" s="18" t="n">
        <v>0.06</v>
      </c>
      <c r="F348" s="29" t="n">
        <f aca="false">IFERROR(INDEX(Insumos!$F$4:$F$168,MATCH($C348,Insumos!$A$4:$A$168,0)),1)</f>
        <v>0.98</v>
      </c>
      <c r="G348" s="30" t="n">
        <f aca="false">IFERROR(E348/F348,0)</f>
        <v>0.0612244897959184</v>
      </c>
      <c r="H348" s="31" t="n">
        <f aca="false">IFERROR(INDEX(Insumos!$G$20:$G$168,MATCH($C348,Insumos!$A$20:$A$168,0)),0)</f>
        <v>6</v>
      </c>
      <c r="I348" s="27" t="n">
        <f aca="false">G348*H348</f>
        <v>0.36734693877551</v>
      </c>
    </row>
    <row r="349" customFormat="false" ht="15" hidden="false" customHeight="false" outlineLevel="0" collapsed="false">
      <c r="A349" s="15" t="s">
        <v>521</v>
      </c>
      <c r="B349" s="15" t="s">
        <v>522</v>
      </c>
      <c r="C349" s="16" t="s">
        <v>366</v>
      </c>
      <c r="D349" s="15" t="s">
        <v>367</v>
      </c>
      <c r="E349" s="18" t="n">
        <v>0.005</v>
      </c>
      <c r="F349" s="29" t="n">
        <f aca="false">IFERROR(INDEX(Insumos!$F$4:$F$168,MATCH($C349,Insumos!$A$4:$A$168,0)),1)</f>
        <v>0.98</v>
      </c>
      <c r="G349" s="30" t="n">
        <f aca="false">IFERROR(E349/F349,0)</f>
        <v>0.00510204081632653</v>
      </c>
      <c r="H349" s="31" t="n">
        <f aca="false">IFERROR(INDEX(Insumos!$G$20:$G$168,MATCH($C349,Insumos!$A$20:$A$168,0)),0)</f>
        <v>5</v>
      </c>
      <c r="I349" s="27" t="n">
        <f aca="false">G349*H349</f>
        <v>0.0255102040816327</v>
      </c>
    </row>
    <row r="350" customFormat="false" ht="15" hidden="false" customHeight="false" outlineLevel="0" collapsed="false">
      <c r="A350" s="15" t="s">
        <v>521</v>
      </c>
      <c r="B350" s="15" t="s">
        <v>522</v>
      </c>
      <c r="C350" s="16" t="s">
        <v>225</v>
      </c>
      <c r="D350" s="15" t="s">
        <v>226</v>
      </c>
      <c r="E350" s="18" t="n">
        <v>0.015</v>
      </c>
      <c r="F350" s="29" t="n">
        <f aca="false">IFERROR(INDEX(Insumos!$F$4:$F$168,MATCH($C350,Insumos!$A$4:$A$168,0)),1)</f>
        <v>0.98</v>
      </c>
      <c r="G350" s="30" t="n">
        <f aca="false">IFERROR(E350/F350,0)</f>
        <v>0.0153061224489796</v>
      </c>
      <c r="H350" s="31" t="n">
        <f aca="false">IFERROR(INDEX(Insumos!$G$20:$G$168,MATCH($C350,Insumos!$A$20:$A$168,0)),0)</f>
        <v>14.9</v>
      </c>
      <c r="I350" s="27" t="n">
        <f aca="false">G350*H350</f>
        <v>0.228061224489796</v>
      </c>
    </row>
    <row r="351" customFormat="false" ht="15" hidden="false" customHeight="false" outlineLevel="0" collapsed="false">
      <c r="A351" s="15" t="s">
        <v>521</v>
      </c>
      <c r="B351" s="15" t="s">
        <v>522</v>
      </c>
      <c r="C351" s="16" t="s">
        <v>228</v>
      </c>
      <c r="D351" s="15" t="s">
        <v>229</v>
      </c>
      <c r="E351" s="18" t="n">
        <v>0.01</v>
      </c>
      <c r="F351" s="29" t="n">
        <f aca="false">IFERROR(INDEX(Insumos!$F$4:$F$168,MATCH($C351,Insumos!$A$4:$A$168,0)),1)</f>
        <v>0.98</v>
      </c>
      <c r="G351" s="30" t="n">
        <f aca="false">IFERROR(E351/F351,0)</f>
        <v>0.0102040816326531</v>
      </c>
      <c r="H351" s="31" t="n">
        <f aca="false">IFERROR(INDEX(Insumos!$G$20:$G$168,MATCH($C351,Insumos!$A$20:$A$168,0)),0)</f>
        <v>55.96</v>
      </c>
      <c r="I351" s="27" t="n">
        <f aca="false">G351*H351</f>
        <v>0.571020408163265</v>
      </c>
    </row>
    <row r="352" customFormat="false" ht="15" hidden="false" customHeight="false" outlineLevel="0" collapsed="false">
      <c r="A352" s="15" t="s">
        <v>521</v>
      </c>
      <c r="B352" s="15" t="s">
        <v>522</v>
      </c>
      <c r="C352" s="16" t="s">
        <v>256</v>
      </c>
      <c r="D352" s="15" t="s">
        <v>257</v>
      </c>
      <c r="E352" s="18" t="n">
        <v>0.005</v>
      </c>
      <c r="F352" s="29" t="n">
        <f aca="false">IFERROR(INDEX(Insumos!$F$4:$F$168,MATCH($C352,Insumos!$A$4:$A$168,0)),1)</f>
        <v>0.98</v>
      </c>
      <c r="G352" s="30" t="n">
        <f aca="false">IFERROR(E352/F352,0)</f>
        <v>0.00510204081632653</v>
      </c>
      <c r="H352" s="31" t="n">
        <f aca="false">IFERROR(INDEX(Insumos!$G$20:$G$168,MATCH($C352,Insumos!$A$20:$A$168,0)),0)</f>
        <v>36.86</v>
      </c>
      <c r="I352" s="27" t="n">
        <f aca="false">G352*H352</f>
        <v>0.188061224489796</v>
      </c>
    </row>
    <row r="353" customFormat="false" ht="15" hidden="false" customHeight="false" outlineLevel="0" collapsed="false">
      <c r="A353" s="15" t="s">
        <v>521</v>
      </c>
      <c r="B353" s="15" t="s">
        <v>522</v>
      </c>
      <c r="C353" s="16" t="s">
        <v>336</v>
      </c>
      <c r="D353" s="15" t="s">
        <v>337</v>
      </c>
      <c r="E353" s="18" t="n">
        <v>0.15</v>
      </c>
      <c r="F353" s="29" t="n">
        <f aca="false">IFERROR(INDEX(Insumos!$F$4:$F$168,MATCH($C353,Insumos!$A$4:$A$168,0)),1)</f>
        <v>1</v>
      </c>
      <c r="G353" s="30" t="n">
        <f aca="false">IFERROR(E353/F353,0)</f>
        <v>0.15</v>
      </c>
      <c r="H353" s="31" t="n">
        <f aca="false">IFERROR(INDEX(Insumos!$G$20:$G$168,MATCH($C353,Insumos!$A$20:$A$168,0)),0)</f>
        <v>15</v>
      </c>
      <c r="I353" s="27" t="n">
        <f aca="false">G353*H353</f>
        <v>2.25</v>
      </c>
    </row>
    <row r="354" customFormat="false" ht="15" hidden="false" customHeight="false" outlineLevel="0" collapsed="false">
      <c r="A354" s="15" t="s">
        <v>521</v>
      </c>
      <c r="B354" s="15" t="s">
        <v>522</v>
      </c>
      <c r="C354" s="16" t="s">
        <v>403</v>
      </c>
      <c r="D354" s="15" t="s">
        <v>404</v>
      </c>
      <c r="E354" s="18" t="n">
        <v>0.4</v>
      </c>
      <c r="F354" s="29" t="n">
        <f aca="false">IFERROR(INDEX(Insumos!$F$4:$F$168,MATCH($C354,Insumos!$A$4:$A$168,0)),1)</f>
        <v>0.98</v>
      </c>
      <c r="G354" s="30" t="n">
        <f aca="false">IFERROR(E354/F354,0)</f>
        <v>0.408163265306122</v>
      </c>
      <c r="H354" s="31" t="n">
        <f aca="false">IFERROR(INDEX(Insumos!$G$20:$G$168,MATCH($C354,Insumos!$A$20:$A$168,0)),0)</f>
        <v>1.5</v>
      </c>
      <c r="I354" s="27" t="n">
        <f aca="false">G354*H354</f>
        <v>0.612244897959184</v>
      </c>
    </row>
    <row r="355" customFormat="false" ht="15" hidden="false" customHeight="false" outlineLevel="0" collapsed="false">
      <c r="A355" s="15" t="s">
        <v>521</v>
      </c>
      <c r="B355" s="15" t="s">
        <v>522</v>
      </c>
      <c r="C355" s="16" t="s">
        <v>118</v>
      </c>
      <c r="D355" s="15" t="s">
        <v>119</v>
      </c>
      <c r="E355" s="18" t="n">
        <v>0.075</v>
      </c>
      <c r="F355" s="29" t="n">
        <f aca="false">IFERROR(INDEX(Insumos!$F$4:$F$168,MATCH($C355,Insumos!$A$4:$A$168,0)),1)</f>
        <v>0.95</v>
      </c>
      <c r="G355" s="30" t="n">
        <f aca="false">IFERROR(E355/F355,0)</f>
        <v>0.0789473684210526</v>
      </c>
      <c r="H355" s="31" t="n">
        <f aca="false">IFERROR(INDEX(Insumos!$G$20:$G$168,MATCH($C355,Insumos!$A$20:$A$168,0)),0)</f>
        <v>20</v>
      </c>
      <c r="I355" s="27" t="n">
        <f aca="false">G355*H355</f>
        <v>1.57894736842105</v>
      </c>
    </row>
    <row r="356" customFormat="false" ht="15" hidden="false" customHeight="false" outlineLevel="0" collapsed="false">
      <c r="A356" s="15" t="s">
        <v>521</v>
      </c>
      <c r="B356" s="15" t="s">
        <v>522</v>
      </c>
      <c r="C356" s="16" t="s">
        <v>71</v>
      </c>
      <c r="D356" s="15" t="s">
        <v>72</v>
      </c>
      <c r="E356" s="18" t="n">
        <v>0.045</v>
      </c>
      <c r="F356" s="29" t="n">
        <f aca="false">IFERROR(INDEX(Insumos!$F$4:$F$168,MATCH($C356,Insumos!$A$4:$A$168,0)),1)</f>
        <v>1</v>
      </c>
      <c r="G356" s="30" t="n">
        <f aca="false">IFERROR(E356/F356,0)</f>
        <v>0.045</v>
      </c>
      <c r="H356" s="31" t="n">
        <f aca="false">Insumos!$G$14</f>
        <v>45.9219387755102</v>
      </c>
      <c r="I356" s="27" t="n">
        <f aca="false">G356*H356</f>
        <v>2.06648724489796</v>
      </c>
    </row>
    <row r="357" customFormat="false" ht="15" hidden="false" customHeight="false" outlineLevel="0" collapsed="false">
      <c r="A357" s="15" t="s">
        <v>523</v>
      </c>
      <c r="B357" s="15" t="s">
        <v>524</v>
      </c>
      <c r="C357" s="16" t="s">
        <v>336</v>
      </c>
      <c r="D357" s="15" t="s">
        <v>337</v>
      </c>
      <c r="E357" s="18" t="n">
        <v>0.3</v>
      </c>
      <c r="F357" s="29" t="n">
        <f aca="false">IFERROR(INDEX(Insumos!$F$4:$F$168,MATCH($C357,Insumos!$A$4:$A$168,0)),1)</f>
        <v>1</v>
      </c>
      <c r="G357" s="30" t="n">
        <f aca="false">IFERROR(E357/F357,0)</f>
        <v>0.3</v>
      </c>
      <c r="H357" s="31" t="n">
        <f aca="false">IFERROR(INDEX(Insumos!$G$20:$G$168,MATCH($C357,Insumos!$A$20:$A$168,0)),0)</f>
        <v>15</v>
      </c>
      <c r="I357" s="27" t="n">
        <f aca="false">G357*H357</f>
        <v>4.5</v>
      </c>
    </row>
    <row r="358" customFormat="false" ht="15" hidden="false" customHeight="false" outlineLevel="0" collapsed="false">
      <c r="A358" s="15" t="s">
        <v>523</v>
      </c>
      <c r="B358" s="15" t="s">
        <v>524</v>
      </c>
      <c r="C358" s="16" t="s">
        <v>349</v>
      </c>
      <c r="D358" s="15" t="s">
        <v>350</v>
      </c>
      <c r="E358" s="18" t="n">
        <v>0.07</v>
      </c>
      <c r="F358" s="29" t="n">
        <f aca="false">IFERROR(INDEX(Insumos!$F$4:$F$168,MATCH($C358,Insumos!$A$4:$A$168,0)),1)</f>
        <v>0.98</v>
      </c>
      <c r="G358" s="30" t="n">
        <f aca="false">IFERROR(E358/F358,0)</f>
        <v>0.0714285714285714</v>
      </c>
      <c r="H358" s="31" t="n">
        <f aca="false">IFERROR(INDEX(Insumos!$G$20:$G$168,MATCH($C358,Insumos!$A$20:$A$168,0)),0)</f>
        <v>54.4</v>
      </c>
      <c r="I358" s="27" t="n">
        <f aca="false">G358*H358</f>
        <v>3.88571428571429</v>
      </c>
    </row>
    <row r="359" customFormat="false" ht="15" hidden="false" customHeight="false" outlineLevel="0" collapsed="false">
      <c r="A359" s="15" t="s">
        <v>523</v>
      </c>
      <c r="B359" s="15" t="s">
        <v>524</v>
      </c>
      <c r="C359" s="16" t="s">
        <v>208</v>
      </c>
      <c r="D359" s="15" t="s">
        <v>209</v>
      </c>
      <c r="E359" s="18" t="n">
        <v>0.2</v>
      </c>
      <c r="F359" s="29" t="n">
        <f aca="false">IFERROR(INDEX(Insumos!$F$4:$F$168,MATCH($C359,Insumos!$A$4:$A$168,0)),1)</f>
        <v>0.98</v>
      </c>
      <c r="G359" s="30" t="n">
        <f aca="false">IFERROR(E359/F359,0)</f>
        <v>0.204081632653061</v>
      </c>
      <c r="H359" s="31" t="n">
        <f aca="false">IFERROR(INDEX(Insumos!$G$20:$G$168,MATCH($C359,Insumos!$A$20:$A$168,0)),0)</f>
        <v>65</v>
      </c>
      <c r="I359" s="27" t="n">
        <f aca="false">G359*H359</f>
        <v>13.265306122449</v>
      </c>
    </row>
    <row r="360" customFormat="false" ht="15" hidden="false" customHeight="false" outlineLevel="0" collapsed="false">
      <c r="A360" s="15" t="s">
        <v>523</v>
      </c>
      <c r="B360" s="15" t="s">
        <v>524</v>
      </c>
      <c r="C360" s="16" t="s">
        <v>225</v>
      </c>
      <c r="D360" s="15" t="s">
        <v>226</v>
      </c>
      <c r="E360" s="18" t="n">
        <v>0.01</v>
      </c>
      <c r="F360" s="29" t="n">
        <f aca="false">IFERROR(INDEX(Insumos!$F$4:$F$168,MATCH($C360,Insumos!$A$4:$A$168,0)),1)</f>
        <v>0.98</v>
      </c>
      <c r="G360" s="30" t="n">
        <f aca="false">IFERROR(E360/F360,0)</f>
        <v>0.0102040816326531</v>
      </c>
      <c r="H360" s="31" t="n">
        <f aca="false">IFERROR(INDEX(Insumos!$G$20:$G$168,MATCH($C360,Insumos!$A$20:$A$168,0)),0)</f>
        <v>14.9</v>
      </c>
      <c r="I360" s="27" t="n">
        <f aca="false">G360*H360</f>
        <v>0.152040816326531</v>
      </c>
    </row>
    <row r="361" customFormat="false" ht="15" hidden="false" customHeight="false" outlineLevel="0" collapsed="false">
      <c r="A361" s="15" t="s">
        <v>523</v>
      </c>
      <c r="B361" s="15" t="s">
        <v>524</v>
      </c>
      <c r="C361" s="16" t="s">
        <v>403</v>
      </c>
      <c r="D361" s="15" t="s">
        <v>404</v>
      </c>
      <c r="E361" s="18" t="n">
        <v>0.2</v>
      </c>
      <c r="F361" s="29" t="n">
        <f aca="false">IFERROR(INDEX(Insumos!$F$4:$F$168,MATCH($C361,Insumos!$A$4:$A$168,0)),1)</f>
        <v>0.98</v>
      </c>
      <c r="G361" s="30" t="n">
        <f aca="false">IFERROR(E361/F361,0)</f>
        <v>0.204081632653061</v>
      </c>
      <c r="H361" s="31" t="n">
        <f aca="false">IFERROR(INDEX(Insumos!$G$20:$G$168,MATCH($C361,Insumos!$A$20:$A$168,0)),0)</f>
        <v>1.5</v>
      </c>
      <c r="I361" s="27" t="n">
        <f aca="false">G361*H361</f>
        <v>0.306122448979592</v>
      </c>
    </row>
    <row r="362" customFormat="false" ht="15" hidden="false" customHeight="false" outlineLevel="0" collapsed="false">
      <c r="A362" s="15" t="s">
        <v>523</v>
      </c>
      <c r="B362" s="15" t="s">
        <v>524</v>
      </c>
      <c r="C362" s="16" t="s">
        <v>376</v>
      </c>
      <c r="D362" s="15" t="s">
        <v>377</v>
      </c>
      <c r="E362" s="18" t="n">
        <v>0.01</v>
      </c>
      <c r="F362" s="29" t="n">
        <f aca="false">IFERROR(INDEX(Insumos!$F$4:$F$168,MATCH($C362,Insumos!$A$4:$A$168,0)),1)</f>
        <v>0.98</v>
      </c>
      <c r="G362" s="30" t="n">
        <f aca="false">IFERROR(E362/F362,0)</f>
        <v>0.0102040816326531</v>
      </c>
      <c r="H362" s="31" t="n">
        <f aca="false">IFERROR(INDEX(Insumos!$G$20:$G$168,MATCH($C362,Insumos!$A$20:$A$168,0)),0)</f>
        <v>34.06</v>
      </c>
      <c r="I362" s="27" t="n">
        <f aca="false">G362*H362</f>
        <v>0.347551020408163</v>
      </c>
    </row>
    <row r="363" customFormat="false" ht="15" hidden="false" customHeight="false" outlineLevel="0" collapsed="false">
      <c r="A363" s="15" t="s">
        <v>523</v>
      </c>
      <c r="B363" s="15" t="s">
        <v>524</v>
      </c>
      <c r="C363" s="16" t="s">
        <v>366</v>
      </c>
      <c r="D363" s="15" t="s">
        <v>367</v>
      </c>
      <c r="E363" s="18" t="n">
        <v>0.005</v>
      </c>
      <c r="F363" s="29" t="n">
        <f aca="false">IFERROR(INDEX(Insumos!$F$4:$F$168,MATCH($C363,Insumos!$A$4:$A$168,0)),1)</f>
        <v>0.98</v>
      </c>
      <c r="G363" s="30" t="n">
        <f aca="false">IFERROR(E363/F363,0)</f>
        <v>0.00510204081632653</v>
      </c>
      <c r="H363" s="31" t="n">
        <f aca="false">IFERROR(INDEX(Insumos!$G$20:$G$168,MATCH($C363,Insumos!$A$20:$A$168,0)),0)</f>
        <v>5</v>
      </c>
      <c r="I363" s="27" t="n">
        <f aca="false">G363*H363</f>
        <v>0.0255102040816327</v>
      </c>
    </row>
    <row r="364" customFormat="false" ht="15" hidden="false" customHeight="false" outlineLevel="0" collapsed="false">
      <c r="A364" s="15" t="s">
        <v>525</v>
      </c>
      <c r="B364" s="15" t="s">
        <v>526</v>
      </c>
      <c r="C364" s="16" t="s">
        <v>315</v>
      </c>
      <c r="D364" s="15" t="s">
        <v>316</v>
      </c>
      <c r="E364" s="18" t="n">
        <v>0.2</v>
      </c>
      <c r="F364" s="29" t="n">
        <f aca="false">IFERROR(INDEX(Insumos!$F$4:$F$168,MATCH($C364,Insumos!$A$4:$A$168,0)),1)</f>
        <v>1</v>
      </c>
      <c r="G364" s="30" t="n">
        <f aca="false">IFERROR(E364/F364,0)</f>
        <v>0.2</v>
      </c>
      <c r="H364" s="31" t="n">
        <f aca="false">IFERROR(INDEX(Insumos!$G$20:$G$168,MATCH($C364,Insumos!$A$20:$A$168,0)),0)</f>
        <v>24.64</v>
      </c>
      <c r="I364" s="27" t="n">
        <f aca="false">G364*H364</f>
        <v>4.928</v>
      </c>
    </row>
    <row r="365" customFormat="false" ht="15" hidden="false" customHeight="false" outlineLevel="0" collapsed="false">
      <c r="A365" s="15" t="s">
        <v>525</v>
      </c>
      <c r="B365" s="15" t="s">
        <v>526</v>
      </c>
      <c r="C365" s="16" t="s">
        <v>235</v>
      </c>
      <c r="D365" s="15" t="s">
        <v>236</v>
      </c>
      <c r="E365" s="18" t="n">
        <v>0.06</v>
      </c>
      <c r="F365" s="29" t="n">
        <f aca="false">IFERROR(INDEX(Insumos!$F$4:$F$168,MATCH($C365,Insumos!$A$4:$A$168,0)),1)</f>
        <v>0.98</v>
      </c>
      <c r="G365" s="30" t="n">
        <f aca="false">IFERROR(E365/F365,0)</f>
        <v>0.0612244897959184</v>
      </c>
      <c r="H365" s="31" t="n">
        <f aca="false">IFERROR(INDEX(Insumos!$G$20:$G$168,MATCH($C365,Insumos!$A$20:$A$168,0)),0)</f>
        <v>2.89</v>
      </c>
      <c r="I365" s="27" t="n">
        <f aca="false">G365*H365</f>
        <v>0.176938775510204</v>
      </c>
    </row>
    <row r="366" customFormat="false" ht="15" hidden="false" customHeight="false" outlineLevel="0" collapsed="false">
      <c r="A366" s="15" t="s">
        <v>525</v>
      </c>
      <c r="B366" s="15" t="s">
        <v>526</v>
      </c>
      <c r="C366" s="16" t="s">
        <v>344</v>
      </c>
      <c r="D366" s="15" t="s">
        <v>345</v>
      </c>
      <c r="E366" s="18" t="n">
        <v>0.06</v>
      </c>
      <c r="F366" s="29" t="n">
        <f aca="false">IFERROR(INDEX(Insumos!$F$4:$F$168,MATCH($C366,Insumos!$A$4:$A$168,0)),1)</f>
        <v>0.98</v>
      </c>
      <c r="G366" s="30" t="n">
        <f aca="false">IFERROR(E366/F366,0)</f>
        <v>0.0612244897959184</v>
      </c>
      <c r="H366" s="31" t="n">
        <f aca="false">IFERROR(INDEX(Insumos!$G$20:$G$168,MATCH($C366,Insumos!$A$20:$A$168,0)),0)</f>
        <v>12</v>
      </c>
      <c r="I366" s="27" t="n">
        <f aca="false">G366*H366</f>
        <v>0.73469387755102</v>
      </c>
    </row>
    <row r="367" customFormat="false" ht="15" hidden="false" customHeight="false" outlineLevel="0" collapsed="false">
      <c r="A367" s="15" t="s">
        <v>525</v>
      </c>
      <c r="B367" s="15" t="s">
        <v>526</v>
      </c>
      <c r="C367" s="16" t="s">
        <v>210</v>
      </c>
      <c r="D367" s="15" t="s">
        <v>211</v>
      </c>
      <c r="E367" s="18" t="n">
        <v>0.12</v>
      </c>
      <c r="F367" s="29" t="n">
        <f aca="false">IFERROR(INDEX(Insumos!$F$4:$F$168,MATCH($C367,Insumos!$A$4:$A$168,0)),1)</f>
        <v>0.98</v>
      </c>
      <c r="G367" s="30" t="n">
        <f aca="false">IFERROR(E367/F367,0)</f>
        <v>0.122448979591837</v>
      </c>
      <c r="H367" s="31" t="n">
        <f aca="false">IFERROR(INDEX(Insumos!$G$20:$G$168,MATCH($C367,Insumos!$A$20:$A$168,0)),0)</f>
        <v>7.49</v>
      </c>
      <c r="I367" s="27" t="n">
        <f aca="false">G367*H367</f>
        <v>0.917142857142857</v>
      </c>
    </row>
    <row r="368" customFormat="false" ht="15" hidden="false" customHeight="false" outlineLevel="0" collapsed="false">
      <c r="A368" s="15" t="s">
        <v>525</v>
      </c>
      <c r="B368" s="15" t="s">
        <v>526</v>
      </c>
      <c r="C368" s="16" t="s">
        <v>225</v>
      </c>
      <c r="D368" s="15" t="s">
        <v>226</v>
      </c>
      <c r="E368" s="18" t="n">
        <v>0.008</v>
      </c>
      <c r="F368" s="29" t="n">
        <f aca="false">IFERROR(INDEX(Insumos!$F$4:$F$168,MATCH($C368,Insumos!$A$4:$A$168,0)),1)</f>
        <v>0.98</v>
      </c>
      <c r="G368" s="30" t="n">
        <f aca="false">IFERROR(E368/F368,0)</f>
        <v>0.00816326530612245</v>
      </c>
      <c r="H368" s="31" t="n">
        <f aca="false">IFERROR(INDEX(Insumos!$G$20:$G$168,MATCH($C368,Insumos!$A$20:$A$168,0)),0)</f>
        <v>14.9</v>
      </c>
      <c r="I368" s="27" t="n">
        <f aca="false">G368*H368</f>
        <v>0.121632653061225</v>
      </c>
    </row>
    <row r="369" customFormat="false" ht="15" hidden="false" customHeight="false" outlineLevel="0" collapsed="false">
      <c r="A369" s="15" t="s">
        <v>525</v>
      </c>
      <c r="B369" s="15" t="s">
        <v>526</v>
      </c>
      <c r="C369" s="16" t="s">
        <v>366</v>
      </c>
      <c r="D369" s="15" t="s">
        <v>367</v>
      </c>
      <c r="E369" s="18" t="n">
        <v>0.003</v>
      </c>
      <c r="F369" s="29" t="n">
        <f aca="false">IFERROR(INDEX(Insumos!$F$4:$F$168,MATCH($C369,Insumos!$A$4:$A$168,0)),1)</f>
        <v>0.98</v>
      </c>
      <c r="G369" s="30" t="n">
        <f aca="false">IFERROR(E369/F369,0)</f>
        <v>0.00306122448979592</v>
      </c>
      <c r="H369" s="31" t="n">
        <f aca="false">IFERROR(INDEX(Insumos!$G$20:$G$168,MATCH($C369,Insumos!$A$20:$A$168,0)),0)</f>
        <v>5</v>
      </c>
      <c r="I369" s="27" t="n">
        <f aca="false">G369*H369</f>
        <v>0.0153061224489796</v>
      </c>
    </row>
    <row r="370" customFormat="false" ht="15" hidden="false" customHeight="false" outlineLevel="0" collapsed="false">
      <c r="A370" s="15" t="s">
        <v>525</v>
      </c>
      <c r="B370" s="15" t="s">
        <v>526</v>
      </c>
      <c r="C370" s="16" t="s">
        <v>405</v>
      </c>
      <c r="D370" s="15" t="s">
        <v>406</v>
      </c>
      <c r="E370" s="18" t="n">
        <v>0.03</v>
      </c>
      <c r="F370" s="29" t="n">
        <f aca="false">IFERROR(INDEX(Insumos!$F$4:$F$168,MATCH($C370,Insumos!$A$4:$A$168,0)),1)</f>
        <v>0.98</v>
      </c>
      <c r="G370" s="30" t="n">
        <f aca="false">IFERROR(E370/F370,0)</f>
        <v>0.0306122448979592</v>
      </c>
      <c r="H370" s="31" t="n">
        <f aca="false">IFERROR(INDEX(Insumos!$G$20:$G$168,MATCH($C370,Insumos!$A$20:$A$168,0)),0)</f>
        <v>45</v>
      </c>
      <c r="I370" s="27" t="n">
        <f aca="false">G370*H370</f>
        <v>1.37755102040816</v>
      </c>
    </row>
    <row r="371" customFormat="false" ht="15" hidden="false" customHeight="false" outlineLevel="0" collapsed="false">
      <c r="A371" s="15" t="s">
        <v>525</v>
      </c>
      <c r="B371" s="15" t="s">
        <v>526</v>
      </c>
      <c r="C371" s="16" t="s">
        <v>336</v>
      </c>
      <c r="D371" s="15" t="s">
        <v>337</v>
      </c>
      <c r="E371" s="18" t="n">
        <v>0.1</v>
      </c>
      <c r="F371" s="29" t="n">
        <f aca="false">IFERROR(INDEX(Insumos!$F$4:$F$168,MATCH($C371,Insumos!$A$4:$A$168,0)),1)</f>
        <v>1</v>
      </c>
      <c r="G371" s="30" t="n">
        <f aca="false">IFERROR(E371/F371,0)</f>
        <v>0.1</v>
      </c>
      <c r="H371" s="31" t="n">
        <f aca="false">IFERROR(INDEX(Insumos!$G$20:$G$168,MATCH($C371,Insumos!$A$20:$A$168,0)),0)</f>
        <v>15</v>
      </c>
      <c r="I371" s="27" t="n">
        <f aca="false">G371*H371</f>
        <v>1.5</v>
      </c>
    </row>
    <row r="372" customFormat="false" ht="15" hidden="false" customHeight="false" outlineLevel="0" collapsed="false">
      <c r="A372" s="15" t="s">
        <v>525</v>
      </c>
      <c r="B372" s="15" t="s">
        <v>526</v>
      </c>
      <c r="C372" s="16" t="s">
        <v>121</v>
      </c>
      <c r="D372" s="15" t="s">
        <v>122</v>
      </c>
      <c r="E372" s="18" t="n">
        <v>0.01</v>
      </c>
      <c r="F372" s="29" t="n">
        <f aca="false">IFERROR(INDEX(Insumos!$F$4:$F$168,MATCH($C372,Insumos!$A$4:$A$168,0)),1)</f>
        <v>0.98</v>
      </c>
      <c r="G372" s="30" t="n">
        <f aca="false">IFERROR(E372/F372,0)</f>
        <v>0.0102040816326531</v>
      </c>
      <c r="H372" s="31" t="n">
        <f aca="false">IFERROR(INDEX(Insumos!$G$20:$G$168,MATCH($C372,Insumos!$A$20:$A$168,0)),0)</f>
        <v>6</v>
      </c>
      <c r="I372" s="27" t="n">
        <f aca="false">G372*H372</f>
        <v>0.0612244897959184</v>
      </c>
    </row>
    <row r="373" customFormat="false" ht="15" hidden="false" customHeight="false" outlineLevel="0" collapsed="false">
      <c r="A373" s="15" t="s">
        <v>525</v>
      </c>
      <c r="B373" s="15" t="s">
        <v>526</v>
      </c>
      <c r="C373" s="16" t="s">
        <v>403</v>
      </c>
      <c r="D373" s="15" t="s">
        <v>404</v>
      </c>
      <c r="E373" s="18" t="n">
        <v>0.2</v>
      </c>
      <c r="F373" s="29" t="n">
        <f aca="false">IFERROR(INDEX(Insumos!$F$4:$F$168,MATCH($C373,Insumos!$A$4:$A$168,0)),1)</f>
        <v>0.98</v>
      </c>
      <c r="G373" s="30" t="n">
        <f aca="false">IFERROR(E373/F373,0)</f>
        <v>0.204081632653061</v>
      </c>
      <c r="H373" s="31" t="n">
        <f aca="false">IFERROR(INDEX(Insumos!$G$20:$G$168,MATCH($C373,Insumos!$A$20:$A$168,0)),0)</f>
        <v>1.5</v>
      </c>
      <c r="I373" s="27" t="n">
        <f aca="false">G373*H373</f>
        <v>0.306122448979592</v>
      </c>
    </row>
    <row r="374" customFormat="false" ht="15" hidden="false" customHeight="false" outlineLevel="0" collapsed="false">
      <c r="A374" s="15" t="s">
        <v>528</v>
      </c>
      <c r="B374" s="15" t="s">
        <v>529</v>
      </c>
      <c r="C374" s="16" t="s">
        <v>139</v>
      </c>
      <c r="D374" s="15" t="s">
        <v>140</v>
      </c>
      <c r="E374" s="18" t="n">
        <v>0.6</v>
      </c>
      <c r="F374" s="29" t="n">
        <f aca="false">IFERROR(INDEX(Insumos!$F$4:$F$168,MATCH($C374,Insumos!$A$4:$A$168,0)),1)</f>
        <v>0.8</v>
      </c>
      <c r="G374" s="30" t="n">
        <f aca="false">IFERROR(E374/F374,0)</f>
        <v>0.75</v>
      </c>
      <c r="H374" s="31" t="n">
        <f aca="false">IFERROR(INDEX(Insumos!$G$20:$G$168,MATCH($C374,Insumos!$A$20:$A$168,0)),0)</f>
        <v>6</v>
      </c>
      <c r="I374" s="27" t="n">
        <f aca="false">G374*H374</f>
        <v>4.5</v>
      </c>
    </row>
    <row r="375" customFormat="false" ht="15" hidden="false" customHeight="false" outlineLevel="0" collapsed="false">
      <c r="A375" s="15" t="s">
        <v>528</v>
      </c>
      <c r="B375" s="15" t="s">
        <v>529</v>
      </c>
      <c r="C375" s="16" t="s">
        <v>344</v>
      </c>
      <c r="D375" s="15" t="s">
        <v>345</v>
      </c>
      <c r="E375" s="18" t="n">
        <v>0.3</v>
      </c>
      <c r="F375" s="29" t="n">
        <f aca="false">IFERROR(INDEX(Insumos!$F$4:$F$168,MATCH($C375,Insumos!$A$4:$A$168,0)),1)</f>
        <v>0.98</v>
      </c>
      <c r="G375" s="30" t="n">
        <f aca="false">IFERROR(E375/F375,0)</f>
        <v>0.306122448979592</v>
      </c>
      <c r="H375" s="31" t="n">
        <f aca="false">IFERROR(INDEX(Insumos!$G$20:$G$168,MATCH($C375,Insumos!$A$20:$A$168,0)),0)</f>
        <v>12</v>
      </c>
      <c r="I375" s="27" t="n">
        <f aca="false">G375*H375</f>
        <v>3.6734693877551</v>
      </c>
    </row>
    <row r="376" customFormat="false" ht="15" hidden="false" customHeight="false" outlineLevel="0" collapsed="false">
      <c r="A376" s="15" t="s">
        <v>528</v>
      </c>
      <c r="B376" s="15" t="s">
        <v>529</v>
      </c>
      <c r="C376" s="16" t="s">
        <v>342</v>
      </c>
      <c r="D376" s="15" t="s">
        <v>343</v>
      </c>
      <c r="E376" s="18" t="n">
        <v>0.3</v>
      </c>
      <c r="F376" s="29" t="n">
        <f aca="false">IFERROR(INDEX(Insumos!$F$4:$F$168,MATCH($C376,Insumos!$A$4:$A$168,0)),1)</f>
        <v>0.98</v>
      </c>
      <c r="G376" s="30" t="n">
        <f aca="false">IFERROR(E376/F376,0)</f>
        <v>0.306122448979592</v>
      </c>
      <c r="H376" s="31" t="n">
        <f aca="false">IFERROR(INDEX(Insumos!$G$20:$G$168,MATCH($C376,Insumos!$A$20:$A$168,0)),0)</f>
        <v>5</v>
      </c>
      <c r="I376" s="27" t="n">
        <f aca="false">G376*H376</f>
        <v>1.53061224489796</v>
      </c>
    </row>
    <row r="377" customFormat="false" ht="15" hidden="false" customHeight="false" outlineLevel="0" collapsed="false">
      <c r="A377" s="15" t="s">
        <v>528</v>
      </c>
      <c r="B377" s="15" t="s">
        <v>529</v>
      </c>
      <c r="C377" s="16" t="s">
        <v>118</v>
      </c>
      <c r="D377" s="15" t="s">
        <v>119</v>
      </c>
      <c r="E377" s="18" t="n">
        <v>0.17</v>
      </c>
      <c r="F377" s="29" t="n">
        <f aca="false">IFERROR(INDEX(Insumos!$F$4:$F$168,MATCH($C377,Insumos!$A$4:$A$168,0)),1)</f>
        <v>0.95</v>
      </c>
      <c r="G377" s="30" t="n">
        <f aca="false">IFERROR(E377/F377,0)</f>
        <v>0.178947368421053</v>
      </c>
      <c r="H377" s="31" t="n">
        <f aca="false">IFERROR(INDEX(Insumos!$G$20:$G$168,MATCH($C377,Insumos!$A$20:$A$168,0)),0)</f>
        <v>20</v>
      </c>
      <c r="I377" s="27" t="n">
        <f aca="false">G377*H377</f>
        <v>3.57894736842105</v>
      </c>
    </row>
    <row r="378" customFormat="false" ht="15" hidden="false" customHeight="false" outlineLevel="0" collapsed="false">
      <c r="A378" s="15" t="s">
        <v>528</v>
      </c>
      <c r="B378" s="15" t="s">
        <v>529</v>
      </c>
      <c r="C378" s="16" t="s">
        <v>366</v>
      </c>
      <c r="D378" s="15" t="s">
        <v>367</v>
      </c>
      <c r="E378" s="18" t="n">
        <v>0.016</v>
      </c>
      <c r="F378" s="29" t="n">
        <f aca="false">IFERROR(INDEX(Insumos!$F$4:$F$168,MATCH($C378,Insumos!$A$4:$A$168,0)),1)</f>
        <v>0.98</v>
      </c>
      <c r="G378" s="30" t="n">
        <f aca="false">IFERROR(E378/F378,0)</f>
        <v>0.0163265306122449</v>
      </c>
      <c r="H378" s="31" t="n">
        <f aca="false">IFERROR(INDEX(Insumos!$G$20:$G$168,MATCH($C378,Insumos!$A$20:$A$168,0)),0)</f>
        <v>5</v>
      </c>
      <c r="I378" s="27" t="n">
        <f aca="false">G378*H378</f>
        <v>0.0816326530612245</v>
      </c>
    </row>
    <row r="379" customFormat="false" ht="15" hidden="false" customHeight="false" outlineLevel="0" collapsed="false">
      <c r="A379" s="15" t="s">
        <v>528</v>
      </c>
      <c r="B379" s="15" t="s">
        <v>529</v>
      </c>
      <c r="C379" s="16" t="s">
        <v>169</v>
      </c>
      <c r="D379" s="15" t="s">
        <v>170</v>
      </c>
      <c r="E379" s="18" t="n">
        <v>0.08</v>
      </c>
      <c r="F379" s="29" t="n">
        <f aca="false">IFERROR(INDEX(Insumos!$F$4:$F$168,MATCH($C379,Insumos!$A$4:$A$168,0)),1)</f>
        <v>0.84</v>
      </c>
      <c r="G379" s="30" t="n">
        <f aca="false">IFERROR(E379/F379,0)</f>
        <v>0.0952380952380953</v>
      </c>
      <c r="H379" s="31" t="n">
        <f aca="false">IFERROR(INDEX(Insumos!$G$20:$G$168,MATCH($C379,Insumos!$A$20:$A$168,0)),0)</f>
        <v>6</v>
      </c>
      <c r="I379" s="27" t="n">
        <f aca="false">G379*H379</f>
        <v>0.571428571428572</v>
      </c>
    </row>
    <row r="380" customFormat="false" ht="15" hidden="false" customHeight="false" outlineLevel="0" collapsed="false">
      <c r="A380" s="15" t="s">
        <v>528</v>
      </c>
      <c r="B380" s="15" t="s">
        <v>529</v>
      </c>
      <c r="C380" s="16" t="s">
        <v>370</v>
      </c>
      <c r="D380" s="15" t="s">
        <v>371</v>
      </c>
      <c r="E380" s="18" t="n">
        <v>0.01</v>
      </c>
      <c r="F380" s="29" t="n">
        <f aca="false">IFERROR(INDEX(Insumos!$F$4:$F$168,MATCH($C380,Insumos!$A$4:$A$168,0)),1)</f>
        <v>0.83</v>
      </c>
      <c r="G380" s="30" t="n">
        <f aca="false">IFERROR(E380/F380,0)</f>
        <v>0.0120481927710843</v>
      </c>
      <c r="H380" s="31" t="n">
        <f aca="false">IFERROR(INDEX(Insumos!$G$20:$G$168,MATCH($C380,Insumos!$A$20:$A$168,0)),0)</f>
        <v>22.5</v>
      </c>
      <c r="I380" s="27" t="n">
        <f aca="false">G380*H380</f>
        <v>0.271084337349398</v>
      </c>
    </row>
    <row r="381" customFormat="false" ht="15" hidden="false" customHeight="false" outlineLevel="0" collapsed="false">
      <c r="A381" s="15" t="s">
        <v>528</v>
      </c>
      <c r="B381" s="15" t="s">
        <v>529</v>
      </c>
      <c r="C381" s="16" t="s">
        <v>403</v>
      </c>
      <c r="D381" s="15" t="s">
        <v>404</v>
      </c>
      <c r="E381" s="18" t="n">
        <v>0.2</v>
      </c>
      <c r="F381" s="29" t="n">
        <f aca="false">IFERROR(INDEX(Insumos!$F$4:$F$168,MATCH($C381,Insumos!$A$4:$A$168,0)),1)</f>
        <v>0.98</v>
      </c>
      <c r="G381" s="30" t="n">
        <f aca="false">IFERROR(E381/F381,0)</f>
        <v>0.204081632653061</v>
      </c>
      <c r="H381" s="31" t="n">
        <f aca="false">IFERROR(INDEX(Insumos!$G$20:$G$168,MATCH($C381,Insumos!$A$20:$A$168,0)),0)</f>
        <v>1.5</v>
      </c>
      <c r="I381" s="27" t="n">
        <f aca="false">G381*H381</f>
        <v>0.306122448979592</v>
      </c>
    </row>
    <row r="382" customFormat="false" ht="15" hidden="false" customHeight="false" outlineLevel="0" collapsed="false">
      <c r="A382" s="15" t="s">
        <v>528</v>
      </c>
      <c r="B382" s="15" t="s">
        <v>529</v>
      </c>
      <c r="C382" s="16" t="s">
        <v>173</v>
      </c>
      <c r="D382" s="15" t="s">
        <v>174</v>
      </c>
      <c r="E382" s="18" t="n">
        <v>0.03</v>
      </c>
      <c r="F382" s="29" t="n">
        <f aca="false">IFERROR(INDEX(Insumos!$F$4:$F$168,MATCH($C382,Insumos!$A$4:$A$168,0)),1)</f>
        <v>0.98</v>
      </c>
      <c r="G382" s="30" t="n">
        <f aca="false">IFERROR(E382/F382,0)</f>
        <v>0.0306122448979592</v>
      </c>
      <c r="H382" s="31" t="n">
        <f aca="false">IFERROR(INDEX(Insumos!$G$20:$G$168,MATCH($C382,Insumos!$A$20:$A$168,0)),0)</f>
        <v>34.89</v>
      </c>
      <c r="I382" s="27" t="n">
        <f aca="false">G382*H382</f>
        <v>1.0680612244898</v>
      </c>
    </row>
    <row r="383" customFormat="false" ht="15" hidden="false" customHeight="false" outlineLevel="0" collapsed="false">
      <c r="A383" s="15" t="s">
        <v>530</v>
      </c>
      <c r="B383" s="15" t="s">
        <v>529</v>
      </c>
      <c r="C383" s="16" t="s">
        <v>260</v>
      </c>
      <c r="D383" s="15" t="s">
        <v>261</v>
      </c>
      <c r="E383" s="18" t="n">
        <v>1</v>
      </c>
      <c r="F383" s="29" t="n">
        <f aca="false">IFERROR(INDEX(Insumos!$F$4:$F$168,MATCH($C383,Insumos!$A$4:$A$168,0)),1)</f>
        <v>0.98</v>
      </c>
      <c r="G383" s="30" t="n">
        <f aca="false">IFERROR(E383/F383,0)</f>
        <v>1.02040816326531</v>
      </c>
      <c r="H383" s="31" t="n">
        <f aca="false">IFERROR(INDEX(Insumos!$G$20:$G$168,MATCH($C383,Insumos!$A$20:$A$168,0)),0)</f>
        <v>15</v>
      </c>
      <c r="I383" s="27" t="n">
        <f aca="false">G383*H383</f>
        <v>15.3061224489796</v>
      </c>
    </row>
    <row r="384" customFormat="false" ht="15" hidden="false" customHeight="false" outlineLevel="0" collapsed="false">
      <c r="A384" s="15" t="s">
        <v>530</v>
      </c>
      <c r="B384" s="15" t="s">
        <v>529</v>
      </c>
      <c r="C384" s="16" t="s">
        <v>111</v>
      </c>
      <c r="D384" s="15" t="s">
        <v>112</v>
      </c>
      <c r="E384" s="18" t="n">
        <v>0.2</v>
      </c>
      <c r="F384" s="29" t="n">
        <f aca="false">IFERROR(INDEX(Insumos!$F$4:$F$168,MATCH($C384,Insumos!$A$4:$A$168,0)),1)</f>
        <v>0.98</v>
      </c>
      <c r="G384" s="30" t="n">
        <f aca="false">IFERROR(E384/F384,0)</f>
        <v>0.204081632653061</v>
      </c>
      <c r="H384" s="31" t="n">
        <f aca="false">IFERROR(INDEX(Insumos!$G$20:$G$168,MATCH($C384,Insumos!$A$20:$A$168,0)),0)</f>
        <v>16.9</v>
      </c>
      <c r="I384" s="27" t="n">
        <f aca="false">G384*H384</f>
        <v>3.44897959183673</v>
      </c>
    </row>
    <row r="385" customFormat="false" ht="15" hidden="false" customHeight="false" outlineLevel="0" collapsed="false">
      <c r="A385" s="15" t="s">
        <v>530</v>
      </c>
      <c r="B385" s="15" t="s">
        <v>529</v>
      </c>
      <c r="C385" s="16" t="s">
        <v>143</v>
      </c>
      <c r="D385" s="15" t="s">
        <v>144</v>
      </c>
      <c r="E385" s="18" t="n">
        <v>0.1</v>
      </c>
      <c r="F385" s="29" t="n">
        <f aca="false">IFERROR(INDEX(Insumos!$F$4:$F$168,MATCH($C385,Insumos!$A$4:$A$168,0)),1)</f>
        <v>0.9</v>
      </c>
      <c r="G385" s="30" t="n">
        <f aca="false">IFERROR(E385/F385,0)</f>
        <v>0.111111111111111</v>
      </c>
      <c r="H385" s="31" t="n">
        <f aca="false">IFERROR(INDEX(Insumos!$G$20:$G$168,MATCH($C385,Insumos!$A$20:$A$168,0)),0)</f>
        <v>5</v>
      </c>
      <c r="I385" s="27" t="n">
        <f aca="false">G385*H385</f>
        <v>0.555555555555556</v>
      </c>
    </row>
    <row r="386" customFormat="false" ht="15" hidden="false" customHeight="false" outlineLevel="0" collapsed="false">
      <c r="A386" s="15" t="s">
        <v>530</v>
      </c>
      <c r="B386" s="15" t="s">
        <v>529</v>
      </c>
      <c r="C386" s="16" t="s">
        <v>118</v>
      </c>
      <c r="D386" s="15" t="s">
        <v>119</v>
      </c>
      <c r="E386" s="18" t="n">
        <v>0.03</v>
      </c>
      <c r="F386" s="29" t="n">
        <f aca="false">IFERROR(INDEX(Insumos!$F$4:$F$168,MATCH($C386,Insumos!$A$4:$A$168,0)),1)</f>
        <v>0.95</v>
      </c>
      <c r="G386" s="30" t="n">
        <f aca="false">IFERROR(E386/F386,0)</f>
        <v>0.0315789473684211</v>
      </c>
      <c r="H386" s="31" t="n">
        <f aca="false">IFERROR(INDEX(Insumos!$G$20:$G$168,MATCH($C386,Insumos!$A$20:$A$168,0)),0)</f>
        <v>20</v>
      </c>
      <c r="I386" s="27" t="n">
        <f aca="false">G386*H386</f>
        <v>0.631578947368421</v>
      </c>
    </row>
    <row r="387" customFormat="false" ht="15" hidden="false" customHeight="false" outlineLevel="0" collapsed="false">
      <c r="A387" s="15" t="s">
        <v>530</v>
      </c>
      <c r="B387" s="15" t="s">
        <v>529</v>
      </c>
      <c r="C387" s="16" t="s">
        <v>366</v>
      </c>
      <c r="D387" s="15" t="s">
        <v>367</v>
      </c>
      <c r="E387" s="18" t="n">
        <v>0.02</v>
      </c>
      <c r="F387" s="29" t="n">
        <f aca="false">IFERROR(INDEX(Insumos!$F$4:$F$168,MATCH($C387,Insumos!$A$4:$A$168,0)),1)</f>
        <v>0.98</v>
      </c>
      <c r="G387" s="30" t="n">
        <f aca="false">IFERROR(E387/F387,0)</f>
        <v>0.0204081632653061</v>
      </c>
      <c r="H387" s="31" t="n">
        <f aca="false">IFERROR(INDEX(Insumos!$G$20:$G$168,MATCH($C387,Insumos!$A$20:$A$168,0)),0)</f>
        <v>5</v>
      </c>
      <c r="I387" s="27" t="n">
        <f aca="false">G387*H387</f>
        <v>0.102040816326531</v>
      </c>
    </row>
    <row r="388" customFormat="false" ht="15" hidden="false" customHeight="false" outlineLevel="0" collapsed="false">
      <c r="A388" s="15" t="s">
        <v>530</v>
      </c>
      <c r="B388" s="15" t="s">
        <v>529</v>
      </c>
      <c r="C388" s="16" t="s">
        <v>169</v>
      </c>
      <c r="D388" s="15" t="s">
        <v>170</v>
      </c>
      <c r="E388" s="18" t="n">
        <v>0.1</v>
      </c>
      <c r="F388" s="29" t="n">
        <f aca="false">IFERROR(INDEX(Insumos!$F$4:$F$168,MATCH($C388,Insumos!$A$4:$A$168,0)),1)</f>
        <v>0.84</v>
      </c>
      <c r="G388" s="30" t="n">
        <f aca="false">IFERROR(E388/F388,0)</f>
        <v>0.119047619047619</v>
      </c>
      <c r="H388" s="31" t="n">
        <f aca="false">IFERROR(INDEX(Insumos!$G$20:$G$168,MATCH($C388,Insumos!$A$20:$A$168,0)),0)</f>
        <v>6</v>
      </c>
      <c r="I388" s="27" t="n">
        <f aca="false">G388*H388</f>
        <v>0.714285714285714</v>
      </c>
    </row>
    <row r="389" customFormat="false" ht="15" hidden="false" customHeight="false" outlineLevel="0" collapsed="false">
      <c r="A389" s="15" t="s">
        <v>530</v>
      </c>
      <c r="B389" s="15" t="s">
        <v>529</v>
      </c>
      <c r="C389" s="16" t="s">
        <v>370</v>
      </c>
      <c r="D389" s="15" t="s">
        <v>371</v>
      </c>
      <c r="E389" s="18" t="n">
        <v>0.01</v>
      </c>
      <c r="F389" s="29" t="n">
        <f aca="false">IFERROR(INDEX(Insumos!$F$4:$F$168,MATCH($C389,Insumos!$A$4:$A$168,0)),1)</f>
        <v>0.83</v>
      </c>
      <c r="G389" s="30" t="n">
        <f aca="false">IFERROR(E389/F389,0)</f>
        <v>0.0120481927710843</v>
      </c>
      <c r="H389" s="31" t="n">
        <f aca="false">IFERROR(INDEX(Insumos!$G$20:$G$168,MATCH($C389,Insumos!$A$20:$A$168,0)),0)</f>
        <v>22.5</v>
      </c>
      <c r="I389" s="27" t="n">
        <f aca="false">G389*H389</f>
        <v>0.271084337349398</v>
      </c>
    </row>
    <row r="390" customFormat="false" ht="15" hidden="false" customHeight="false" outlineLevel="0" collapsed="false">
      <c r="A390" s="15" t="s">
        <v>530</v>
      </c>
      <c r="B390" s="15" t="s">
        <v>529</v>
      </c>
      <c r="C390" s="16" t="s">
        <v>403</v>
      </c>
      <c r="D390" s="15" t="s">
        <v>404</v>
      </c>
      <c r="E390" s="18" t="n">
        <v>0.1</v>
      </c>
      <c r="F390" s="29" t="n">
        <f aca="false">IFERROR(INDEX(Insumos!$F$4:$F$168,MATCH($C390,Insumos!$A$4:$A$168,0)),1)</f>
        <v>0.98</v>
      </c>
      <c r="G390" s="30" t="n">
        <f aca="false">IFERROR(E390/F390,0)</f>
        <v>0.102040816326531</v>
      </c>
      <c r="H390" s="31" t="n">
        <f aca="false">IFERROR(INDEX(Insumos!$G$20:$G$168,MATCH($C390,Insumos!$A$20:$A$168,0)),0)</f>
        <v>1.5</v>
      </c>
      <c r="I390" s="27" t="n">
        <f aca="false">G390*H390</f>
        <v>0.153061224489796</v>
      </c>
    </row>
    <row r="391" customFormat="false" ht="15" hidden="false" customHeight="false" outlineLevel="0" collapsed="false">
      <c r="A391" s="15" t="s">
        <v>530</v>
      </c>
      <c r="B391" s="15" t="s">
        <v>529</v>
      </c>
      <c r="C391" s="16" t="s">
        <v>94</v>
      </c>
      <c r="D391" s="15" t="s">
        <v>95</v>
      </c>
      <c r="E391" s="18" t="n">
        <v>0.01</v>
      </c>
      <c r="F391" s="29" t="n">
        <f aca="false">IFERROR(INDEX(Insumos!$F$4:$F$168,MATCH($C391,Insumos!$A$4:$A$168,0)),1)</f>
        <v>0.88</v>
      </c>
      <c r="G391" s="30" t="n">
        <f aca="false">IFERROR(E391/F391,0)</f>
        <v>0.0113636363636364</v>
      </c>
      <c r="H391" s="31" t="n">
        <f aca="false">IFERROR(INDEX(Insumos!$G$20:$G$168,MATCH($C391,Insumos!$A$20:$A$168,0)),0)</f>
        <v>24.99</v>
      </c>
      <c r="I391" s="27" t="n">
        <f aca="false">G391*H391</f>
        <v>0.283977272727273</v>
      </c>
    </row>
    <row r="392" customFormat="false" ht="15" hidden="false" customHeight="false" outlineLevel="0" collapsed="false">
      <c r="A392" s="15" t="s">
        <v>530</v>
      </c>
      <c r="B392" s="15" t="s">
        <v>529</v>
      </c>
      <c r="C392" s="16" t="s">
        <v>351</v>
      </c>
      <c r="D392" s="15" t="s">
        <v>352</v>
      </c>
      <c r="E392" s="18" t="n">
        <v>0.01</v>
      </c>
      <c r="F392" s="29" t="n">
        <f aca="false">IFERROR(INDEX(Insumos!$F$4:$F$168,MATCH($C392,Insumos!$A$4:$A$168,0)),1)</f>
        <v>0.98</v>
      </c>
      <c r="G392" s="30" t="n">
        <f aca="false">IFERROR(E392/F392,0)</f>
        <v>0.0102040816326531</v>
      </c>
      <c r="H392" s="31" t="n">
        <f aca="false">IFERROR(INDEX(Insumos!$G$20:$G$168,MATCH($C392,Insumos!$A$20:$A$168,0)),0)</f>
        <v>54.9</v>
      </c>
      <c r="I392" s="27" t="n">
        <f aca="false">G392*H392</f>
        <v>0.560204081632653</v>
      </c>
    </row>
    <row r="393" customFormat="false" ht="15" hidden="false" customHeight="false" outlineLevel="0" collapsed="false">
      <c r="A393" s="15" t="s">
        <v>530</v>
      </c>
      <c r="B393" s="15" t="s">
        <v>529</v>
      </c>
      <c r="C393" s="16" t="s">
        <v>210</v>
      </c>
      <c r="D393" s="15" t="s">
        <v>211</v>
      </c>
      <c r="E393" s="18" t="n">
        <v>0.2</v>
      </c>
      <c r="F393" s="29" t="n">
        <f aca="false">IFERROR(INDEX(Insumos!$F$4:$F$168,MATCH($C393,Insumos!$A$4:$A$168,0)),1)</f>
        <v>0.98</v>
      </c>
      <c r="G393" s="30" t="n">
        <f aca="false">IFERROR(E393/F393,0)</f>
        <v>0.204081632653061</v>
      </c>
      <c r="H393" s="31" t="n">
        <f aca="false">IFERROR(INDEX(Insumos!$G$20:$G$168,MATCH($C393,Insumos!$A$20:$A$168,0)),0)</f>
        <v>7.49</v>
      </c>
      <c r="I393" s="27" t="n">
        <f aca="false">G393*H393</f>
        <v>1.52857142857143</v>
      </c>
    </row>
    <row r="394" customFormat="false" ht="15" hidden="false" customHeight="false" outlineLevel="0" collapsed="false">
      <c r="A394" s="15" t="s">
        <v>531</v>
      </c>
      <c r="B394" s="15" t="s">
        <v>532</v>
      </c>
      <c r="C394" s="16" t="s">
        <v>349</v>
      </c>
      <c r="D394" s="15" t="s">
        <v>350</v>
      </c>
      <c r="E394" s="18" t="n">
        <v>0.2</v>
      </c>
      <c r="F394" s="29" t="n">
        <f aca="false">IFERROR(INDEX(Insumos!$F$4:$F$168,MATCH($C394,Insumos!$A$4:$A$168,0)),1)</f>
        <v>0.98</v>
      </c>
      <c r="G394" s="30" t="n">
        <f aca="false">IFERROR(E394/F394,0)</f>
        <v>0.204081632653061</v>
      </c>
      <c r="H394" s="31" t="n">
        <f aca="false">IFERROR(INDEX(Insumos!$G$20:$G$168,MATCH($C394,Insumos!$A$20:$A$168,0)),0)</f>
        <v>54.4</v>
      </c>
      <c r="I394" s="27" t="n">
        <f aca="false">G394*H394</f>
        <v>11.1020408163265</v>
      </c>
    </row>
    <row r="395" customFormat="false" ht="15" hidden="false" customHeight="false" outlineLevel="0" collapsed="false">
      <c r="A395" s="15" t="s">
        <v>531</v>
      </c>
      <c r="B395" s="15" t="s">
        <v>532</v>
      </c>
      <c r="C395" s="16" t="s">
        <v>374</v>
      </c>
      <c r="D395" s="15" t="s">
        <v>375</v>
      </c>
      <c r="E395" s="18" t="n">
        <v>0.04</v>
      </c>
      <c r="F395" s="29" t="n">
        <f aca="false">IFERROR(INDEX(Insumos!$F$4:$F$168,MATCH($C395,Insumos!$A$4:$A$168,0)),1)</f>
        <v>0.98</v>
      </c>
      <c r="G395" s="30" t="n">
        <f aca="false">IFERROR(E395/F395,0)</f>
        <v>0.0408163265306123</v>
      </c>
      <c r="H395" s="31" t="n">
        <f aca="false">IFERROR(INDEX(Insumos!$G$20:$G$168,MATCH($C395,Insumos!$A$20:$A$168,0)),0)</f>
        <v>78.9</v>
      </c>
      <c r="I395" s="27" t="n">
        <f aca="false">G395*H395</f>
        <v>3.22040816326531</v>
      </c>
    </row>
    <row r="396" customFormat="false" ht="15" hidden="false" customHeight="false" outlineLevel="0" collapsed="false">
      <c r="A396" s="15" t="s">
        <v>531</v>
      </c>
      <c r="B396" s="15" t="s">
        <v>532</v>
      </c>
      <c r="C396" s="16" t="s">
        <v>376</v>
      </c>
      <c r="D396" s="15" t="s">
        <v>377</v>
      </c>
      <c r="E396" s="18" t="n">
        <v>0.04</v>
      </c>
      <c r="F396" s="29" t="n">
        <f aca="false">IFERROR(INDEX(Insumos!$F$4:$F$168,MATCH($C396,Insumos!$A$4:$A$168,0)),1)</f>
        <v>0.98</v>
      </c>
      <c r="G396" s="30" t="n">
        <f aca="false">IFERROR(E396/F396,0)</f>
        <v>0.0408163265306123</v>
      </c>
      <c r="H396" s="31" t="n">
        <f aca="false">IFERROR(INDEX(Insumos!$G$20:$G$168,MATCH($C396,Insumos!$A$20:$A$168,0)),0)</f>
        <v>34.06</v>
      </c>
      <c r="I396" s="27" t="n">
        <f aca="false">G396*H396</f>
        <v>1.39020408163265</v>
      </c>
    </row>
    <row r="397" customFormat="false" ht="15" hidden="false" customHeight="false" outlineLevel="0" collapsed="false">
      <c r="A397" s="15" t="s">
        <v>531</v>
      </c>
      <c r="B397" s="15" t="s">
        <v>532</v>
      </c>
      <c r="C397" s="16" t="s">
        <v>173</v>
      </c>
      <c r="D397" s="15" t="s">
        <v>174</v>
      </c>
      <c r="E397" s="18" t="n">
        <v>0.02</v>
      </c>
      <c r="F397" s="29" t="n">
        <f aca="false">IFERROR(INDEX(Insumos!$F$4:$F$168,MATCH($C397,Insumos!$A$4:$A$168,0)),1)</f>
        <v>0.98</v>
      </c>
      <c r="G397" s="30" t="n">
        <f aca="false">IFERROR(E397/F397,0)</f>
        <v>0.0204081632653061</v>
      </c>
      <c r="H397" s="31" t="n">
        <f aca="false">IFERROR(INDEX(Insumos!$G$20:$G$168,MATCH($C397,Insumos!$A$20:$A$168,0)),0)</f>
        <v>34.89</v>
      </c>
      <c r="I397" s="27" t="n">
        <f aca="false">G397*H397</f>
        <v>0.712040816326531</v>
      </c>
    </row>
    <row r="398" customFormat="false" ht="15" hidden="false" customHeight="false" outlineLevel="0" collapsed="false">
      <c r="A398" s="15" t="s">
        <v>531</v>
      </c>
      <c r="B398" s="15" t="s">
        <v>532</v>
      </c>
      <c r="C398" s="16" t="s">
        <v>228</v>
      </c>
      <c r="D398" s="15" t="s">
        <v>229</v>
      </c>
      <c r="E398" s="18" t="n">
        <v>0.005</v>
      </c>
      <c r="F398" s="29" t="n">
        <f aca="false">IFERROR(INDEX(Insumos!$F$4:$F$168,MATCH($C398,Insumos!$A$4:$A$168,0)),1)</f>
        <v>0.98</v>
      </c>
      <c r="G398" s="30" t="n">
        <f aca="false">IFERROR(E398/F398,0)</f>
        <v>0.00510204081632653</v>
      </c>
      <c r="H398" s="31" t="n">
        <f aca="false">IFERROR(INDEX(Insumos!$G$20:$G$168,MATCH($C398,Insumos!$A$20:$A$168,0)),0)</f>
        <v>55.96</v>
      </c>
      <c r="I398" s="27" t="n">
        <f aca="false">G398*H398</f>
        <v>0.285510204081633</v>
      </c>
    </row>
    <row r="399" customFormat="false" ht="15" hidden="false" customHeight="false" outlineLevel="0" collapsed="false">
      <c r="A399" s="15" t="s">
        <v>531</v>
      </c>
      <c r="B399" s="15" t="s">
        <v>532</v>
      </c>
      <c r="C399" s="16" t="s">
        <v>366</v>
      </c>
      <c r="D399" s="15" t="s">
        <v>367</v>
      </c>
      <c r="E399" s="18" t="n">
        <v>0.005</v>
      </c>
      <c r="F399" s="29" t="n">
        <f aca="false">IFERROR(INDEX(Insumos!$F$4:$F$168,MATCH($C399,Insumos!$A$4:$A$168,0)),1)</f>
        <v>0.98</v>
      </c>
      <c r="G399" s="30" t="n">
        <f aca="false">IFERROR(E399/F399,0)</f>
        <v>0.00510204081632653</v>
      </c>
      <c r="H399" s="31" t="n">
        <f aca="false">IFERROR(INDEX(Insumos!$G$20:$G$168,MATCH($C399,Insumos!$A$20:$A$168,0)),0)</f>
        <v>5</v>
      </c>
      <c r="I399" s="27" t="n">
        <f aca="false">G399*H399</f>
        <v>0.0255102040816327</v>
      </c>
    </row>
    <row r="400" customFormat="false" ht="15" hidden="false" customHeight="false" outlineLevel="0" collapsed="false">
      <c r="A400" s="15" t="s">
        <v>531</v>
      </c>
      <c r="B400" s="15" t="s">
        <v>532</v>
      </c>
      <c r="C400" s="16" t="s">
        <v>118</v>
      </c>
      <c r="D400" s="15" t="s">
        <v>119</v>
      </c>
      <c r="E400" s="18" t="n">
        <v>0.015</v>
      </c>
      <c r="F400" s="29" t="n">
        <f aca="false">IFERROR(INDEX(Insumos!$F$4:$F$168,MATCH($C400,Insumos!$A$4:$A$168,0)),1)</f>
        <v>0.95</v>
      </c>
      <c r="G400" s="30" t="n">
        <f aca="false">IFERROR(E400/F400,0)</f>
        <v>0.0157894736842105</v>
      </c>
      <c r="H400" s="31" t="n">
        <f aca="false">IFERROR(INDEX(Insumos!$G$20:$G$168,MATCH($C400,Insumos!$A$20:$A$168,0)),0)</f>
        <v>20</v>
      </c>
      <c r="I400" s="27" t="n">
        <f aca="false">G400*H400</f>
        <v>0.315789473684211</v>
      </c>
    </row>
    <row r="401" customFormat="false" ht="15" hidden="false" customHeight="false" outlineLevel="0" collapsed="false">
      <c r="A401" s="15" t="s">
        <v>531</v>
      </c>
      <c r="B401" s="15" t="s">
        <v>532</v>
      </c>
      <c r="C401" s="16" t="s">
        <v>336</v>
      </c>
      <c r="D401" s="15" t="s">
        <v>337</v>
      </c>
      <c r="E401" s="18" t="n">
        <v>0.3</v>
      </c>
      <c r="F401" s="29" t="n">
        <f aca="false">IFERROR(INDEX(Insumos!$F$4:$F$168,MATCH($C401,Insumos!$A$4:$A$168,0)),1)</f>
        <v>1</v>
      </c>
      <c r="G401" s="30" t="n">
        <f aca="false">IFERROR(E401/F401,0)</f>
        <v>0.3</v>
      </c>
      <c r="H401" s="31" t="n">
        <f aca="false">IFERROR(INDEX(Insumos!$G$20:$G$168,MATCH($C401,Insumos!$A$20:$A$168,0)),0)</f>
        <v>15</v>
      </c>
      <c r="I401" s="27" t="n">
        <f aca="false">G401*H401</f>
        <v>4.5</v>
      </c>
    </row>
    <row r="402" customFormat="false" ht="15" hidden="false" customHeight="false" outlineLevel="0" collapsed="false">
      <c r="A402" s="15" t="s">
        <v>531</v>
      </c>
      <c r="B402" s="15" t="s">
        <v>532</v>
      </c>
      <c r="C402" s="16" t="s">
        <v>403</v>
      </c>
      <c r="D402" s="15" t="s">
        <v>404</v>
      </c>
      <c r="E402" s="18" t="n">
        <v>0.1</v>
      </c>
      <c r="F402" s="29" t="n">
        <f aca="false">IFERROR(INDEX(Insumos!$F$4:$F$168,MATCH($C402,Insumos!$A$4:$A$168,0)),1)</f>
        <v>0.98</v>
      </c>
      <c r="G402" s="30" t="n">
        <f aca="false">IFERROR(E402/F402,0)</f>
        <v>0.102040816326531</v>
      </c>
      <c r="H402" s="31" t="n">
        <f aca="false">IFERROR(INDEX(Insumos!$G$20:$G$168,MATCH($C402,Insumos!$A$20:$A$168,0)),0)</f>
        <v>1.5</v>
      </c>
      <c r="I402" s="27" t="n">
        <f aca="false">G402*H402</f>
        <v>0.153061224489796</v>
      </c>
    </row>
    <row r="403" customFormat="false" ht="15" hidden="false" customHeight="false" outlineLevel="0" collapsed="false">
      <c r="A403" s="15" t="s">
        <v>79</v>
      </c>
      <c r="B403" s="15" t="s">
        <v>80</v>
      </c>
      <c r="C403" s="16" t="s">
        <v>336</v>
      </c>
      <c r="D403" s="15" t="s">
        <v>337</v>
      </c>
      <c r="E403" s="18" t="n">
        <v>0.15</v>
      </c>
      <c r="F403" s="29" t="n">
        <f aca="false">IFERROR(INDEX(Insumos!$F$4:$F$168,MATCH($C403,Insumos!$A$4:$A$168,0)),1)</f>
        <v>1</v>
      </c>
      <c r="G403" s="30" t="n">
        <f aca="false">IFERROR(E403/F403,0)</f>
        <v>0.15</v>
      </c>
      <c r="H403" s="31" t="n">
        <f aca="false">IFERROR(INDEX(Insumos!$G$20:$G$168,MATCH($C403,Insumos!$A$20:$A$168,0)),0)</f>
        <v>15</v>
      </c>
      <c r="I403" s="27" t="n">
        <f aca="false">G403*H403</f>
        <v>2.25</v>
      </c>
    </row>
    <row r="404" customFormat="false" ht="15" hidden="false" customHeight="false" outlineLevel="0" collapsed="false">
      <c r="A404" s="15" t="s">
        <v>79</v>
      </c>
      <c r="B404" s="15" t="s">
        <v>80</v>
      </c>
      <c r="C404" s="16" t="s">
        <v>111</v>
      </c>
      <c r="D404" s="15" t="s">
        <v>112</v>
      </c>
      <c r="E404" s="18" t="n">
        <v>0.09</v>
      </c>
      <c r="F404" s="29" t="n">
        <f aca="false">IFERROR(INDEX(Insumos!$F$4:$F$168,MATCH($C404,Insumos!$A$4:$A$168,0)),1)</f>
        <v>0.98</v>
      </c>
      <c r="G404" s="30" t="n">
        <f aca="false">IFERROR(E404/F404,0)</f>
        <v>0.0918367346938776</v>
      </c>
      <c r="H404" s="31" t="n">
        <f aca="false">IFERROR(INDEX(Insumos!$G$20:$G$168,MATCH($C404,Insumos!$A$20:$A$168,0)),0)</f>
        <v>16.9</v>
      </c>
      <c r="I404" s="27" t="n">
        <f aca="false">G404*H404</f>
        <v>1.55204081632653</v>
      </c>
    </row>
    <row r="405" customFormat="false" ht="15" hidden="false" customHeight="false" outlineLevel="0" collapsed="false">
      <c r="A405" s="15" t="s">
        <v>79</v>
      </c>
      <c r="B405" s="15" t="s">
        <v>80</v>
      </c>
      <c r="C405" s="16" t="s">
        <v>344</v>
      </c>
      <c r="D405" s="15" t="s">
        <v>345</v>
      </c>
      <c r="E405" s="18" t="n">
        <v>0.09</v>
      </c>
      <c r="F405" s="29" t="n">
        <f aca="false">IFERROR(INDEX(Insumos!$F$4:$F$168,MATCH($C405,Insumos!$A$4:$A$168,0)),1)</f>
        <v>0.98</v>
      </c>
      <c r="G405" s="30" t="n">
        <f aca="false">IFERROR(E405/F405,0)</f>
        <v>0.0918367346938776</v>
      </c>
      <c r="H405" s="31" t="n">
        <f aca="false">IFERROR(INDEX(Insumos!$G$20:$G$168,MATCH($C405,Insumos!$A$20:$A$168,0)),0)</f>
        <v>12</v>
      </c>
      <c r="I405" s="27" t="n">
        <f aca="false">G405*H405</f>
        <v>1.10204081632653</v>
      </c>
    </row>
    <row r="406" customFormat="false" ht="15" hidden="false" customHeight="false" outlineLevel="0" collapsed="false">
      <c r="A406" s="15" t="s">
        <v>79</v>
      </c>
      <c r="B406" s="15" t="s">
        <v>80</v>
      </c>
      <c r="C406" s="16" t="s">
        <v>225</v>
      </c>
      <c r="D406" s="15" t="s">
        <v>226</v>
      </c>
      <c r="E406" s="18" t="n">
        <v>0.01</v>
      </c>
      <c r="F406" s="29" t="n">
        <f aca="false">IFERROR(INDEX(Insumos!$F$4:$F$168,MATCH($C406,Insumos!$A$4:$A$168,0)),1)</f>
        <v>0.98</v>
      </c>
      <c r="G406" s="30" t="n">
        <f aca="false">IFERROR(E406/F406,0)</f>
        <v>0.0102040816326531</v>
      </c>
      <c r="H406" s="31" t="n">
        <f aca="false">IFERROR(INDEX(Insumos!$G$20:$G$168,MATCH($C406,Insumos!$A$20:$A$168,0)),0)</f>
        <v>14.9</v>
      </c>
      <c r="I406" s="27" t="n">
        <f aca="false">G406*H406</f>
        <v>0.152040816326531</v>
      </c>
    </row>
    <row r="407" customFormat="false" ht="15" hidden="false" customHeight="false" outlineLevel="0" collapsed="false">
      <c r="A407" s="15" t="s">
        <v>79</v>
      </c>
      <c r="B407" s="15" t="s">
        <v>80</v>
      </c>
      <c r="C407" s="16" t="s">
        <v>260</v>
      </c>
      <c r="D407" s="15" t="s">
        <v>261</v>
      </c>
      <c r="E407" s="18" t="n">
        <v>0.15</v>
      </c>
      <c r="F407" s="29" t="n">
        <f aca="false">IFERROR(INDEX(Insumos!$F$4:$F$168,MATCH($C407,Insumos!$A$4:$A$168,0)),1)</f>
        <v>0.98</v>
      </c>
      <c r="G407" s="30" t="n">
        <f aca="false">IFERROR(E407/F407,0)</f>
        <v>0.153061224489796</v>
      </c>
      <c r="H407" s="31" t="n">
        <f aca="false">IFERROR(INDEX(Insumos!$G$20:$G$168,MATCH($C407,Insumos!$A$20:$A$168,0)),0)</f>
        <v>15</v>
      </c>
      <c r="I407" s="27" t="n">
        <f aca="false">G407*H407</f>
        <v>2.29591836734694</v>
      </c>
    </row>
    <row r="408" customFormat="false" ht="15" hidden="false" customHeight="false" outlineLevel="0" collapsed="false">
      <c r="A408" s="15" t="s">
        <v>79</v>
      </c>
      <c r="B408" s="15" t="s">
        <v>80</v>
      </c>
      <c r="C408" s="16" t="s">
        <v>210</v>
      </c>
      <c r="D408" s="15" t="s">
        <v>211</v>
      </c>
      <c r="E408" s="18" t="n">
        <v>0.135</v>
      </c>
      <c r="F408" s="29" t="n">
        <f aca="false">IFERROR(INDEX(Insumos!$F$4:$F$168,MATCH($C408,Insumos!$A$4:$A$168,0)),1)</f>
        <v>0.98</v>
      </c>
      <c r="G408" s="30" t="n">
        <f aca="false">IFERROR(E408/F408,0)</f>
        <v>0.137755102040816</v>
      </c>
      <c r="H408" s="31" t="n">
        <f aca="false">IFERROR(INDEX(Insumos!$G$20:$G$168,MATCH($C408,Insumos!$A$20:$A$168,0)),0)</f>
        <v>7.49</v>
      </c>
      <c r="I408" s="27" t="n">
        <f aca="false">G408*H408</f>
        <v>1.03178571428571</v>
      </c>
    </row>
    <row r="409" customFormat="false" ht="15" hidden="false" customHeight="false" outlineLevel="0" collapsed="false">
      <c r="A409" s="15" t="s">
        <v>79</v>
      </c>
      <c r="B409" s="15" t="s">
        <v>80</v>
      </c>
      <c r="C409" s="16" t="s">
        <v>366</v>
      </c>
      <c r="D409" s="15" t="s">
        <v>367</v>
      </c>
      <c r="E409" s="18" t="n">
        <v>0.005</v>
      </c>
      <c r="F409" s="29" t="n">
        <f aca="false">IFERROR(INDEX(Insumos!$F$4:$F$168,MATCH($C409,Insumos!$A$4:$A$168,0)),1)</f>
        <v>0.98</v>
      </c>
      <c r="G409" s="30" t="n">
        <f aca="false">IFERROR(E409/F409,0)</f>
        <v>0.00510204081632653</v>
      </c>
      <c r="H409" s="31" t="n">
        <f aca="false">IFERROR(INDEX(Insumos!$G$20:$G$168,MATCH($C409,Insumos!$A$20:$A$168,0)),0)</f>
        <v>5</v>
      </c>
      <c r="I409" s="27" t="n">
        <f aca="false">G409*H409</f>
        <v>0.0255102040816327</v>
      </c>
    </row>
    <row r="410" customFormat="false" ht="15" hidden="false" customHeight="false" outlineLevel="0" collapsed="false">
      <c r="A410" s="15" t="s">
        <v>79</v>
      </c>
      <c r="B410" s="15" t="s">
        <v>80</v>
      </c>
      <c r="C410" s="16" t="s">
        <v>256</v>
      </c>
      <c r="D410" s="15" t="s">
        <v>257</v>
      </c>
      <c r="E410" s="18" t="n">
        <v>0.001</v>
      </c>
      <c r="F410" s="29" t="n">
        <f aca="false">IFERROR(INDEX(Insumos!$F$4:$F$168,MATCH($C410,Insumos!$A$4:$A$168,0)),1)</f>
        <v>0.98</v>
      </c>
      <c r="G410" s="30" t="n">
        <f aca="false">IFERROR(E410/F410,0)</f>
        <v>0.00102040816326531</v>
      </c>
      <c r="H410" s="31" t="n">
        <f aca="false">IFERROR(INDEX(Insumos!$G$20:$G$168,MATCH($C410,Insumos!$A$20:$A$168,0)),0)</f>
        <v>36.86</v>
      </c>
      <c r="I410" s="27" t="n">
        <f aca="false">G410*H410</f>
        <v>0.0376122448979592</v>
      </c>
    </row>
    <row r="411" customFormat="false" ht="15" hidden="false" customHeight="false" outlineLevel="0" collapsed="false">
      <c r="A411" s="15" t="s">
        <v>79</v>
      </c>
      <c r="B411" s="15" t="s">
        <v>80</v>
      </c>
      <c r="C411" s="16" t="s">
        <v>403</v>
      </c>
      <c r="D411" s="15" t="s">
        <v>404</v>
      </c>
      <c r="E411" s="18" t="n">
        <v>0.1</v>
      </c>
      <c r="F411" s="29" t="n">
        <f aca="false">IFERROR(INDEX(Insumos!$F$4:$F$168,MATCH($C411,Insumos!$A$4:$A$168,0)),1)</f>
        <v>0.98</v>
      </c>
      <c r="G411" s="30" t="n">
        <f aca="false">IFERROR(E411/F411,0)</f>
        <v>0.102040816326531</v>
      </c>
      <c r="H411" s="31" t="n">
        <f aca="false">IFERROR(INDEX(Insumos!$G$20:$G$168,MATCH($C411,Insumos!$A$20:$A$168,0)),0)</f>
        <v>1.5</v>
      </c>
      <c r="I411" s="27" t="n">
        <f aca="false">G411*H411</f>
        <v>0.153061224489796</v>
      </c>
    </row>
    <row r="412" customFormat="false" ht="15" hidden="false" customHeight="false" outlineLevel="0" collapsed="false">
      <c r="A412" s="15" t="s">
        <v>79</v>
      </c>
      <c r="B412" s="15" t="s">
        <v>80</v>
      </c>
      <c r="C412" s="16" t="s">
        <v>332</v>
      </c>
      <c r="D412" s="15" t="s">
        <v>333</v>
      </c>
      <c r="E412" s="18" t="n">
        <v>0.1</v>
      </c>
      <c r="F412" s="29" t="n">
        <f aca="false">IFERROR(INDEX(Insumos!$F$4:$F$168,MATCH($C412,Insumos!$A$4:$A$168,0)),1)</f>
        <v>0.98</v>
      </c>
      <c r="G412" s="30" t="n">
        <f aca="false">IFERROR(E412/F412,0)</f>
        <v>0.102040816326531</v>
      </c>
      <c r="H412" s="31" t="n">
        <f aca="false">IFERROR(INDEX(Insumos!$G$20:$G$168,MATCH($C412,Insumos!$A$20:$A$168,0)),0)</f>
        <v>10</v>
      </c>
      <c r="I412" s="27" t="n">
        <f aca="false">G412*H412</f>
        <v>1.02040816326531</v>
      </c>
    </row>
    <row r="413" customFormat="false" ht="15" hidden="false" customHeight="false" outlineLevel="0" collapsed="false">
      <c r="A413" s="15" t="s">
        <v>79</v>
      </c>
      <c r="B413" s="15" t="s">
        <v>80</v>
      </c>
      <c r="C413" s="16" t="s">
        <v>376</v>
      </c>
      <c r="D413" s="15" t="s">
        <v>377</v>
      </c>
      <c r="E413" s="18" t="n">
        <v>0.01</v>
      </c>
      <c r="F413" s="29" t="n">
        <f aca="false">IFERROR(INDEX(Insumos!$F$4:$F$168,MATCH($C413,Insumos!$A$4:$A$168,0)),1)</f>
        <v>0.98</v>
      </c>
      <c r="G413" s="30" t="n">
        <f aca="false">IFERROR(E413/F413,0)</f>
        <v>0.0102040816326531</v>
      </c>
      <c r="H413" s="31" t="n">
        <f aca="false">IFERROR(INDEX(Insumos!$G$20:$G$168,MATCH($C413,Insumos!$A$20:$A$168,0)),0)</f>
        <v>34.06</v>
      </c>
      <c r="I413" s="27" t="n">
        <f aca="false">G413*H413</f>
        <v>0.347551020408163</v>
      </c>
    </row>
    <row r="414" customFormat="false" ht="15" hidden="false" customHeight="false" outlineLevel="0" collapsed="false">
      <c r="A414" s="15" t="s">
        <v>534</v>
      </c>
      <c r="B414" s="15" t="s">
        <v>535</v>
      </c>
      <c r="C414" s="16" t="s">
        <v>363</v>
      </c>
      <c r="D414" s="15" t="s">
        <v>364</v>
      </c>
      <c r="E414" s="18" t="n">
        <v>0.35</v>
      </c>
      <c r="F414" s="29" t="n">
        <f aca="false">IFERROR(INDEX(Insumos!$F$4:$F$168,MATCH($C414,Insumos!$A$4:$A$168,0)),1)</f>
        <v>0.98</v>
      </c>
      <c r="G414" s="30" t="n">
        <f aca="false">IFERROR(E414/F414,0)</f>
        <v>0.357142857142857</v>
      </c>
      <c r="H414" s="31" t="n">
        <f aca="false">IFERROR(INDEX(Insumos!$G$20:$G$168,MATCH($C414,Insumos!$A$20:$A$168,0)),0)</f>
        <v>35</v>
      </c>
      <c r="I414" s="27" t="n">
        <f aca="false">G414*H414</f>
        <v>12.5</v>
      </c>
    </row>
    <row r="415" customFormat="false" ht="15" hidden="false" customHeight="false" outlineLevel="0" collapsed="false">
      <c r="A415" s="15" t="s">
        <v>534</v>
      </c>
      <c r="B415" s="15" t="s">
        <v>535</v>
      </c>
      <c r="C415" s="16" t="s">
        <v>150</v>
      </c>
      <c r="D415" s="15" t="s">
        <v>151</v>
      </c>
      <c r="E415" s="18" t="n">
        <v>0.35</v>
      </c>
      <c r="F415" s="29" t="n">
        <f aca="false">IFERROR(INDEX(Insumos!$F$4:$F$168,MATCH($C415,Insumos!$A$4:$A$168,0)),1)</f>
        <v>0.95</v>
      </c>
      <c r="G415" s="30" t="n">
        <f aca="false">IFERROR(E415/F415,0)</f>
        <v>0.368421052631579</v>
      </c>
      <c r="H415" s="31" t="n">
        <f aca="false">IFERROR(INDEX(Insumos!$G$20:$G$168,MATCH($C415,Insumos!$A$20:$A$168,0)),0)</f>
        <v>30</v>
      </c>
      <c r="I415" s="27" t="n">
        <f aca="false">G415*H415</f>
        <v>11.0526315789474</v>
      </c>
    </row>
    <row r="416" customFormat="false" ht="15" hidden="false" customHeight="false" outlineLevel="0" collapsed="false">
      <c r="A416" s="15" t="s">
        <v>534</v>
      </c>
      <c r="B416" s="15" t="s">
        <v>535</v>
      </c>
      <c r="C416" s="16" t="s">
        <v>67</v>
      </c>
      <c r="D416" s="15" t="s">
        <v>68</v>
      </c>
      <c r="E416" s="18" t="n">
        <v>0.5</v>
      </c>
      <c r="F416" s="29" t="n">
        <f aca="false">IFERROR(INDEX(Insumos!$F$4:$F$168,MATCH($C416,Insumos!$A$4:$A$168,0)),1)</f>
        <v>1</v>
      </c>
      <c r="G416" s="30" t="n">
        <f aca="false">IFERROR(E416/F416,0)</f>
        <v>0.5</v>
      </c>
      <c r="H416" s="31" t="n">
        <f aca="false">Insumos!$G$12</f>
        <v>14.050144575725</v>
      </c>
      <c r="I416" s="27" t="n">
        <f aca="false">G416*H416</f>
        <v>7.02507228786251</v>
      </c>
    </row>
    <row r="417" customFormat="false" ht="15" hidden="false" customHeight="false" outlineLevel="0" collapsed="false">
      <c r="A417" s="15" t="s">
        <v>534</v>
      </c>
      <c r="B417" s="15" t="s">
        <v>535</v>
      </c>
      <c r="C417" s="16" t="s">
        <v>52</v>
      </c>
      <c r="D417" s="15" t="s">
        <v>53</v>
      </c>
      <c r="E417" s="18" t="n">
        <v>0.5</v>
      </c>
      <c r="F417" s="29" t="n">
        <f aca="false">IFERROR(INDEX(Insumos!$F$4:$F$168,MATCH($C417,Insumos!$A$4:$A$168,0)),1)</f>
        <v>1</v>
      </c>
      <c r="G417" s="30" t="n">
        <f aca="false">IFERROR(E417/F417,0)</f>
        <v>0.5</v>
      </c>
      <c r="H417" s="31" t="n">
        <f aca="false">Insumos!$G$5</f>
        <v>14.6668244897959</v>
      </c>
      <c r="I417" s="27" t="n">
        <f aca="false">G417*H417</f>
        <v>7.33341224489796</v>
      </c>
    </row>
    <row r="418" customFormat="false" ht="15" hidden="false" customHeight="false" outlineLevel="0" collapsed="false">
      <c r="A418" s="15" t="s">
        <v>536</v>
      </c>
      <c r="B418" s="15" t="s">
        <v>535</v>
      </c>
      <c r="C418" s="16" t="s">
        <v>195</v>
      </c>
      <c r="D418" s="15" t="s">
        <v>196</v>
      </c>
      <c r="E418" s="18" t="n">
        <v>0.5</v>
      </c>
      <c r="F418" s="29" t="n">
        <f aca="false">IFERROR(INDEX(Insumos!$F$4:$F$168,MATCH($C418,Insumos!$A$4:$A$168,0)),1)</f>
        <v>0.95</v>
      </c>
      <c r="G418" s="30" t="n">
        <f aca="false">IFERROR(E418/F418,0)</f>
        <v>0.526315789473684</v>
      </c>
      <c r="H418" s="31" t="n">
        <f aca="false">IFERROR(INDEX(Insumos!$G$20:$G$168,MATCH($C418,Insumos!$A$20:$A$168,0)),0)</f>
        <v>17.2616</v>
      </c>
      <c r="I418" s="27" t="n">
        <f aca="false">G418*H418</f>
        <v>9.08505263157895</v>
      </c>
    </row>
    <row r="419" customFormat="false" ht="15" hidden="false" customHeight="false" outlineLevel="0" collapsed="false">
      <c r="A419" s="15" t="s">
        <v>536</v>
      </c>
      <c r="B419" s="15" t="s">
        <v>535</v>
      </c>
      <c r="C419" s="16" t="s">
        <v>150</v>
      </c>
      <c r="D419" s="15" t="s">
        <v>151</v>
      </c>
      <c r="E419" s="18" t="n">
        <v>0.3</v>
      </c>
      <c r="F419" s="29" t="n">
        <f aca="false">IFERROR(INDEX(Insumos!$F$4:$F$168,MATCH($C419,Insumos!$A$4:$A$168,0)),1)</f>
        <v>0.95</v>
      </c>
      <c r="G419" s="30" t="n">
        <f aca="false">IFERROR(E419/F419,0)</f>
        <v>0.315789473684211</v>
      </c>
      <c r="H419" s="31" t="n">
        <f aca="false">IFERROR(INDEX(Insumos!$G$20:$G$168,MATCH($C419,Insumos!$A$20:$A$168,0)),0)</f>
        <v>30</v>
      </c>
      <c r="I419" s="27" t="n">
        <f aca="false">G419*H419</f>
        <v>9.47368421052632</v>
      </c>
    </row>
    <row r="420" customFormat="false" ht="15" hidden="false" customHeight="false" outlineLevel="0" collapsed="false">
      <c r="A420" s="15" t="s">
        <v>536</v>
      </c>
      <c r="B420" s="15" t="s">
        <v>535</v>
      </c>
      <c r="C420" s="16" t="s">
        <v>169</v>
      </c>
      <c r="D420" s="15" t="s">
        <v>170</v>
      </c>
      <c r="E420" s="18" t="n">
        <v>0.1</v>
      </c>
      <c r="F420" s="29" t="n">
        <f aca="false">IFERROR(INDEX(Insumos!$F$4:$F$168,MATCH($C420,Insumos!$A$4:$A$168,0)),1)</f>
        <v>0.84</v>
      </c>
      <c r="G420" s="30" t="n">
        <f aca="false">IFERROR(E420/F420,0)</f>
        <v>0.119047619047619</v>
      </c>
      <c r="H420" s="31" t="n">
        <f aca="false">IFERROR(INDEX(Insumos!$G$20:$G$168,MATCH($C420,Insumos!$A$20:$A$168,0)),0)</f>
        <v>6</v>
      </c>
      <c r="I420" s="27" t="n">
        <f aca="false">G420*H420</f>
        <v>0.714285714285714</v>
      </c>
    </row>
    <row r="421" customFormat="false" ht="15" hidden="false" customHeight="false" outlineLevel="0" collapsed="false">
      <c r="A421" s="15" t="s">
        <v>536</v>
      </c>
      <c r="B421" s="15" t="s">
        <v>535</v>
      </c>
      <c r="C421" s="16" t="s">
        <v>67</v>
      </c>
      <c r="D421" s="15" t="s">
        <v>68</v>
      </c>
      <c r="E421" s="18" t="n">
        <v>0.8</v>
      </c>
      <c r="F421" s="29" t="n">
        <f aca="false">IFERROR(INDEX(Insumos!$F$4:$F$168,MATCH($C421,Insumos!$A$4:$A$168,0)),1)</f>
        <v>1</v>
      </c>
      <c r="G421" s="30" t="n">
        <f aca="false">IFERROR(E421/F421,0)</f>
        <v>0.8</v>
      </c>
      <c r="H421" s="31" t="n">
        <f aca="false">Insumos!$G$12</f>
        <v>14.050144575725</v>
      </c>
      <c r="I421" s="27" t="n">
        <f aca="false">G421*H421</f>
        <v>11.24011566058</v>
      </c>
    </row>
    <row r="422" customFormat="false" ht="15" hidden="false" customHeight="false" outlineLevel="0" collapsed="false">
      <c r="A422" s="15" t="s">
        <v>537</v>
      </c>
      <c r="B422" s="15" t="s">
        <v>535</v>
      </c>
      <c r="C422" s="16" t="s">
        <v>52</v>
      </c>
      <c r="D422" s="15" t="s">
        <v>53</v>
      </c>
      <c r="E422" s="18" t="n">
        <v>0.5</v>
      </c>
      <c r="F422" s="29" t="n">
        <f aca="false">IFERROR(INDEX(Insumos!$F$4:$F$168,MATCH($C422,Insumos!$A$4:$A$168,0)),1)</f>
        <v>1</v>
      </c>
      <c r="G422" s="30" t="n">
        <f aca="false">IFERROR(E422/F422,0)</f>
        <v>0.5</v>
      </c>
      <c r="H422" s="31" t="n">
        <f aca="false">Insumos!$G$5</f>
        <v>14.6668244897959</v>
      </c>
      <c r="I422" s="27" t="n">
        <f aca="false">G422*H422</f>
        <v>7.33341224489796</v>
      </c>
    </row>
    <row r="423" customFormat="false" ht="15" hidden="false" customHeight="false" outlineLevel="0" collapsed="false">
      <c r="A423" s="15" t="s">
        <v>537</v>
      </c>
      <c r="B423" s="15" t="s">
        <v>535</v>
      </c>
      <c r="C423" s="16" t="s">
        <v>388</v>
      </c>
      <c r="D423" s="15" t="s">
        <v>389</v>
      </c>
      <c r="E423" s="18" t="n">
        <v>0.7</v>
      </c>
      <c r="F423" s="29" t="n">
        <f aca="false">IFERROR(INDEX(Insumos!$F$4:$F$168,MATCH($C423,Insumos!$A$4:$A$168,0)),1)</f>
        <v>0.95</v>
      </c>
      <c r="G423" s="30" t="n">
        <f aca="false">IFERROR(E423/F423,0)</f>
        <v>0.736842105263158</v>
      </c>
      <c r="H423" s="31" t="n">
        <f aca="false">IFERROR(INDEX(Insumos!$G$20:$G$168,MATCH($C423,Insumos!$A$20:$A$168,0)),0)</f>
        <v>20</v>
      </c>
      <c r="I423" s="27" t="n">
        <f aca="false">G423*H423</f>
        <v>14.7368421052632</v>
      </c>
    </row>
    <row r="424" customFormat="false" ht="15" hidden="false" customHeight="false" outlineLevel="0" collapsed="false">
      <c r="A424" s="15" t="s">
        <v>537</v>
      </c>
      <c r="B424" s="15" t="s">
        <v>535</v>
      </c>
      <c r="C424" s="16" t="s">
        <v>292</v>
      </c>
      <c r="D424" s="15" t="s">
        <v>293</v>
      </c>
      <c r="E424" s="18" t="n">
        <v>0.03</v>
      </c>
      <c r="F424" s="29" t="n">
        <f aca="false">IFERROR(INDEX(Insumos!$F$4:$F$168,MATCH($C424,Insumos!$A$4:$A$168,0)),1)</f>
        <v>0.87</v>
      </c>
      <c r="G424" s="30" t="n">
        <f aca="false">IFERROR(E424/F424,0)</f>
        <v>0.0344827586206897</v>
      </c>
      <c r="H424" s="31" t="n">
        <f aca="false">IFERROR(INDEX(Insumos!$G$20:$G$168,MATCH($C424,Insumos!$A$20:$A$168,0)),0)</f>
        <v>22.5</v>
      </c>
      <c r="I424" s="27" t="n">
        <f aca="false">G424*H424</f>
        <v>0.775862068965517</v>
      </c>
    </row>
    <row r="425" customFormat="false" ht="15" hidden="false" customHeight="false" outlineLevel="0" collapsed="false">
      <c r="A425" s="15" t="s">
        <v>537</v>
      </c>
      <c r="B425" s="15" t="s">
        <v>535</v>
      </c>
      <c r="C425" s="16" t="s">
        <v>67</v>
      </c>
      <c r="D425" s="15" t="s">
        <v>68</v>
      </c>
      <c r="E425" s="18" t="n">
        <v>0.75</v>
      </c>
      <c r="F425" s="29" t="n">
        <f aca="false">IFERROR(INDEX(Insumos!$F$4:$F$168,MATCH($C425,Insumos!$A$4:$A$168,0)),1)</f>
        <v>1</v>
      </c>
      <c r="G425" s="30" t="n">
        <f aca="false">IFERROR(E425/F425,0)</f>
        <v>0.75</v>
      </c>
      <c r="H425" s="31" t="n">
        <f aca="false">Insumos!$G$12</f>
        <v>14.050144575725</v>
      </c>
      <c r="I425" s="27" t="n">
        <f aca="false">G425*H425</f>
        <v>10.5376084317938</v>
      </c>
    </row>
    <row r="426" customFormat="false" ht="15" hidden="false" customHeight="false" outlineLevel="0" collapsed="false">
      <c r="A426" s="15" t="s">
        <v>538</v>
      </c>
      <c r="B426" s="15" t="s">
        <v>539</v>
      </c>
      <c r="C426" s="16" t="s">
        <v>332</v>
      </c>
      <c r="D426" s="15" t="s">
        <v>333</v>
      </c>
      <c r="E426" s="18" t="n">
        <v>0.15</v>
      </c>
      <c r="F426" s="29" t="n">
        <f aca="false">IFERROR(INDEX(Insumos!$F$4:$F$168,MATCH($C426,Insumos!$A$4:$A$168,0)),1)</f>
        <v>0.98</v>
      </c>
      <c r="G426" s="30" t="n">
        <f aca="false">IFERROR(E426/F426,0)</f>
        <v>0.153061224489796</v>
      </c>
      <c r="H426" s="31" t="n">
        <f aca="false">IFERROR(INDEX(Insumos!$G$20:$G$168,MATCH($C426,Insumos!$A$20:$A$168,0)),0)</f>
        <v>10</v>
      </c>
      <c r="I426" s="27" t="n">
        <f aca="false">G426*H426</f>
        <v>1.53061224489796</v>
      </c>
    </row>
    <row r="427" customFormat="false" ht="15" hidden="false" customHeight="false" outlineLevel="0" collapsed="false">
      <c r="A427" s="15" t="s">
        <v>538</v>
      </c>
      <c r="B427" s="15" t="s">
        <v>539</v>
      </c>
      <c r="C427" s="16" t="s">
        <v>67</v>
      </c>
      <c r="D427" s="15" t="s">
        <v>68</v>
      </c>
      <c r="E427" s="18" t="n">
        <v>0.4</v>
      </c>
      <c r="F427" s="29" t="n">
        <f aca="false">IFERROR(INDEX(Insumos!$F$4:$F$168,MATCH($C427,Insumos!$A$4:$A$168,0)),1)</f>
        <v>1</v>
      </c>
      <c r="G427" s="30" t="n">
        <f aca="false">IFERROR(E427/F427,0)</f>
        <v>0.4</v>
      </c>
      <c r="H427" s="31" t="n">
        <f aca="false">Insumos!$G$12</f>
        <v>14.050144575725</v>
      </c>
      <c r="I427" s="27" t="n">
        <f aca="false">G427*H427</f>
        <v>5.62005783029001</v>
      </c>
    </row>
    <row r="428" customFormat="false" ht="15" hidden="false" customHeight="false" outlineLevel="0" collapsed="false">
      <c r="A428" s="15" t="s">
        <v>538</v>
      </c>
      <c r="B428" s="15" t="s">
        <v>539</v>
      </c>
      <c r="C428" s="16" t="s">
        <v>52</v>
      </c>
      <c r="D428" s="15" t="s">
        <v>53</v>
      </c>
      <c r="E428" s="18" t="n">
        <v>0.5</v>
      </c>
      <c r="F428" s="29" t="n">
        <f aca="false">IFERROR(INDEX(Insumos!$F$4:$F$168,MATCH($C428,Insumos!$A$4:$A$168,0)),1)</f>
        <v>1</v>
      </c>
      <c r="G428" s="30" t="n">
        <f aca="false">IFERROR(E428/F428,0)</f>
        <v>0.5</v>
      </c>
      <c r="H428" s="31" t="n">
        <f aca="false">Insumos!$G$5</f>
        <v>14.6668244897959</v>
      </c>
      <c r="I428" s="27" t="n">
        <f aca="false">G428*H428</f>
        <v>7.33341224489796</v>
      </c>
    </row>
    <row r="429" customFormat="false" ht="15" hidden="false" customHeight="false" outlineLevel="0" collapsed="false">
      <c r="A429" s="15" t="s">
        <v>540</v>
      </c>
      <c r="B429" s="15" t="s">
        <v>541</v>
      </c>
      <c r="C429" s="16" t="s">
        <v>193</v>
      </c>
      <c r="D429" s="15" t="s">
        <v>194</v>
      </c>
      <c r="E429" s="18" t="n">
        <v>1</v>
      </c>
      <c r="F429" s="29" t="n">
        <f aca="false">IFERROR(INDEX(Insumos!$F$4:$F$168,MATCH($C429,Insumos!$A$4:$A$168,0)),1)</f>
        <v>0.85</v>
      </c>
      <c r="G429" s="30" t="n">
        <f aca="false">IFERROR(E429/F429,0)</f>
        <v>1.17647058823529</v>
      </c>
      <c r="H429" s="31" t="n">
        <f aca="false">IFERROR(INDEX(Insumos!$G$20:$G$168,MATCH($C429,Insumos!$A$20:$A$168,0)),0)</f>
        <v>53</v>
      </c>
      <c r="I429" s="27" t="n">
        <f aca="false">G429*H429</f>
        <v>62.3529411764706</v>
      </c>
    </row>
    <row r="430" customFormat="false" ht="15" hidden="false" customHeight="false" outlineLevel="0" collapsed="false">
      <c r="A430" s="15" t="s">
        <v>540</v>
      </c>
      <c r="B430" s="15" t="s">
        <v>541</v>
      </c>
      <c r="C430" s="16" t="s">
        <v>169</v>
      </c>
      <c r="D430" s="15" t="s">
        <v>170</v>
      </c>
      <c r="E430" s="18" t="n">
        <v>0.15</v>
      </c>
      <c r="F430" s="29" t="n">
        <f aca="false">IFERROR(INDEX(Insumos!$F$4:$F$168,MATCH($C430,Insumos!$A$4:$A$168,0)),1)</f>
        <v>0.84</v>
      </c>
      <c r="G430" s="30" t="n">
        <f aca="false">IFERROR(E430/F430,0)</f>
        <v>0.178571428571429</v>
      </c>
      <c r="H430" s="31" t="n">
        <f aca="false">IFERROR(INDEX(Insumos!$G$20:$G$168,MATCH($C430,Insumos!$A$20:$A$168,0)),0)</f>
        <v>6</v>
      </c>
      <c r="I430" s="27" t="n">
        <f aca="false">G430*H430</f>
        <v>1.07142857142857</v>
      </c>
    </row>
    <row r="431" customFormat="false" ht="15" hidden="false" customHeight="false" outlineLevel="0" collapsed="false">
      <c r="A431" s="15" t="s">
        <v>81</v>
      </c>
      <c r="B431" s="15" t="s">
        <v>82</v>
      </c>
      <c r="C431" s="16" t="s">
        <v>165</v>
      </c>
      <c r="D431" s="15" t="s">
        <v>166</v>
      </c>
      <c r="E431" s="18" t="n">
        <v>0.2</v>
      </c>
      <c r="F431" s="29" t="n">
        <f aca="false">IFERROR(INDEX(Insumos!$F$4:$F$168,MATCH($C431,Insumos!$A$4:$A$168,0)),1)</f>
        <v>0.98</v>
      </c>
      <c r="G431" s="30" t="n">
        <f aca="false">IFERROR(E431/F431,0)</f>
        <v>0.204081632653061</v>
      </c>
      <c r="H431" s="31" t="n">
        <f aca="false">IFERROR(INDEX(Insumos!$G$20:$G$168,MATCH($C431,Insumos!$A$20:$A$168,0)),0)</f>
        <v>69.9</v>
      </c>
      <c r="I431" s="27" t="n">
        <f aca="false">G431*H431</f>
        <v>14.265306122449</v>
      </c>
    </row>
    <row r="432" customFormat="false" ht="15" hidden="false" customHeight="false" outlineLevel="0" collapsed="false">
      <c r="A432" s="15" t="s">
        <v>81</v>
      </c>
      <c r="B432" s="15" t="s">
        <v>82</v>
      </c>
      <c r="C432" s="16" t="s">
        <v>118</v>
      </c>
      <c r="D432" s="15" t="s">
        <v>119</v>
      </c>
      <c r="E432" s="18" t="n">
        <v>0.05</v>
      </c>
      <c r="F432" s="29" t="n">
        <f aca="false">IFERROR(INDEX(Insumos!$F$4:$F$168,MATCH($C432,Insumos!$A$4:$A$168,0)),1)</f>
        <v>0.95</v>
      </c>
      <c r="G432" s="30" t="n">
        <f aca="false">IFERROR(E432/F432,0)</f>
        <v>0.0526315789473684</v>
      </c>
      <c r="H432" s="31" t="n">
        <f aca="false">IFERROR(INDEX(Insumos!$G$20:$G$168,MATCH($C432,Insumos!$A$20:$A$168,0)),0)</f>
        <v>20</v>
      </c>
      <c r="I432" s="27" t="n">
        <f aca="false">G432*H432</f>
        <v>1.05263157894737</v>
      </c>
    </row>
    <row r="433" customFormat="false" ht="15" hidden="false" customHeight="false" outlineLevel="0" collapsed="false">
      <c r="A433" s="15" t="s">
        <v>81</v>
      </c>
      <c r="B433" s="15" t="s">
        <v>82</v>
      </c>
      <c r="C433" s="16" t="s">
        <v>334</v>
      </c>
      <c r="D433" s="15" t="s">
        <v>335</v>
      </c>
      <c r="E433" s="18" t="n">
        <v>0.001</v>
      </c>
      <c r="F433" s="29" t="n">
        <f aca="false">IFERROR(INDEX(Insumos!$F$4:$F$168,MATCH($C433,Insumos!$A$4:$A$168,0)),1)</f>
        <v>0.98</v>
      </c>
      <c r="G433" s="30" t="n">
        <f aca="false">IFERROR(E433/F433,0)</f>
        <v>0.00102040816326531</v>
      </c>
      <c r="H433" s="31" t="n">
        <f aca="false">IFERROR(INDEX(Insumos!$G$20:$G$168,MATCH($C433,Insumos!$A$20:$A$168,0)),0)</f>
        <v>25</v>
      </c>
      <c r="I433" s="27" t="n">
        <f aca="false">G433*H433</f>
        <v>0.0255102040816327</v>
      </c>
    </row>
    <row r="434" customFormat="false" ht="15" hidden="false" customHeight="false" outlineLevel="0" collapsed="false">
      <c r="A434" s="15" t="s">
        <v>81</v>
      </c>
      <c r="B434" s="15" t="s">
        <v>82</v>
      </c>
      <c r="C434" s="16" t="s">
        <v>281</v>
      </c>
      <c r="D434" s="15" t="s">
        <v>282</v>
      </c>
      <c r="E434" s="18" t="n">
        <v>0.01</v>
      </c>
      <c r="F434" s="29" t="n">
        <f aca="false">IFERROR(INDEX(Insumos!$F$4:$F$168,MATCH($C434,Insumos!$A$4:$A$168,0)),1)</f>
        <v>0.98</v>
      </c>
      <c r="G434" s="30" t="n">
        <f aca="false">IFERROR(E434/F434,0)</f>
        <v>0.0102040816326531</v>
      </c>
      <c r="H434" s="31" t="n">
        <f aca="false">IFERROR(INDEX(Insumos!$G$20:$G$168,MATCH($C434,Insumos!$A$20:$A$168,0)),0)</f>
        <v>149.9</v>
      </c>
      <c r="I434" s="27" t="n">
        <f aca="false">G434*H434</f>
        <v>1.52959183673469</v>
      </c>
    </row>
    <row r="435" customFormat="false" ht="15" hidden="false" customHeight="false" outlineLevel="0" collapsed="false">
      <c r="A435" s="15" t="s">
        <v>81</v>
      </c>
      <c r="B435" s="15" t="s">
        <v>82</v>
      </c>
      <c r="C435" s="16" t="s">
        <v>403</v>
      </c>
      <c r="D435" s="15" t="s">
        <v>404</v>
      </c>
      <c r="E435" s="18" t="n">
        <v>0.6</v>
      </c>
      <c r="F435" s="29" t="n">
        <f aca="false">IFERROR(INDEX(Insumos!$F$4:$F$168,MATCH($C435,Insumos!$A$4:$A$168,0)),1)</f>
        <v>0.98</v>
      </c>
      <c r="G435" s="30" t="n">
        <f aca="false">IFERROR(E435/F435,0)</f>
        <v>0.612244897959184</v>
      </c>
      <c r="H435" s="31" t="n">
        <f aca="false">IFERROR(INDEX(Insumos!$G$20:$G$168,MATCH($C435,Insumos!$A$20:$A$168,0)),0)</f>
        <v>1.5</v>
      </c>
      <c r="I435" s="27" t="n">
        <f aca="false">G435*H435</f>
        <v>0.918367346938776</v>
      </c>
    </row>
    <row r="436" customFormat="false" ht="15" hidden="false" customHeight="false" outlineLevel="0" collapsed="false">
      <c r="A436" s="15" t="s">
        <v>81</v>
      </c>
      <c r="B436" s="15" t="s">
        <v>82</v>
      </c>
      <c r="C436" s="16" t="s">
        <v>368</v>
      </c>
      <c r="D436" s="15" t="s">
        <v>369</v>
      </c>
      <c r="E436" s="18" t="n">
        <v>0.003</v>
      </c>
      <c r="F436" s="29" t="n">
        <f aca="false">IFERROR(INDEX(Insumos!$F$4:$F$168,MATCH($C436,Insumos!$A$4:$A$168,0)),1)</f>
        <v>0.98</v>
      </c>
      <c r="G436" s="30" t="n">
        <f aca="false">IFERROR(E436/F436,0)</f>
        <v>0.00306122448979592</v>
      </c>
      <c r="H436" s="31" t="n">
        <f aca="false">IFERROR(INDEX(Insumos!$G$20:$G$168,MATCH($C436,Insumos!$A$20:$A$168,0)),0)</f>
        <v>3.73</v>
      </c>
      <c r="I436" s="27" t="n">
        <f aca="false">G436*H436</f>
        <v>0.0114183673469388</v>
      </c>
    </row>
    <row r="437" customFormat="false" ht="15" hidden="false" customHeight="false" outlineLevel="0" collapsed="false">
      <c r="A437" s="15" t="s">
        <v>81</v>
      </c>
      <c r="B437" s="15" t="s">
        <v>82</v>
      </c>
      <c r="C437" s="16" t="s">
        <v>340</v>
      </c>
      <c r="D437" s="15" t="s">
        <v>341</v>
      </c>
      <c r="E437" s="18" t="n">
        <v>0.001</v>
      </c>
      <c r="F437" s="29" t="n">
        <f aca="false">IFERROR(INDEX(Insumos!$F$4:$F$168,MATCH($C437,Insumos!$A$4:$A$168,0)),1)</f>
        <v>0.95</v>
      </c>
      <c r="G437" s="30" t="n">
        <f aca="false">IFERROR(E437/F437,0)</f>
        <v>0.00105263157894737</v>
      </c>
      <c r="H437" s="31" t="n">
        <f aca="false">IFERROR(INDEX(Insumos!$G$20:$G$168,MATCH($C437,Insumos!$A$20:$A$168,0)),0)</f>
        <v>25.16</v>
      </c>
      <c r="I437" s="27" t="n">
        <f aca="false">G437*H437</f>
        <v>0.0264842105263158</v>
      </c>
    </row>
    <row r="438" customFormat="false" ht="15" hidden="false" customHeight="false" outlineLevel="0" collapsed="false">
      <c r="A438" s="15" t="s">
        <v>542</v>
      </c>
      <c r="B438" s="15" t="s">
        <v>82</v>
      </c>
      <c r="C438" s="16" t="s">
        <v>81</v>
      </c>
      <c r="D438" s="15" t="s">
        <v>82</v>
      </c>
      <c r="E438" s="18" t="n">
        <v>0.04</v>
      </c>
      <c r="F438" s="29" t="n">
        <f aca="false">IFERROR(INDEX(Insumos!$F$4:$F$168,MATCH($C438,Insumos!$A$4:$A$168,0)),1)</f>
        <v>1.18</v>
      </c>
      <c r="G438" s="30" t="n">
        <f aca="false">IFERROR(E438/F438,0)</f>
        <v>0.0338983050847458</v>
      </c>
      <c r="H438" s="31" t="n">
        <f aca="false">Insumos!$G$19</f>
        <v>16.7694786183453</v>
      </c>
      <c r="I438" s="27" t="n">
        <f aca="false">G438*H438</f>
        <v>0.568456902316789</v>
      </c>
    </row>
    <row r="439" customFormat="false" ht="15" hidden="false" customHeight="false" outlineLevel="0" collapsed="false">
      <c r="A439" s="15" t="s">
        <v>543</v>
      </c>
      <c r="B439" s="15" t="s">
        <v>544</v>
      </c>
      <c r="C439" s="16" t="s">
        <v>63</v>
      </c>
      <c r="D439" s="15" t="s">
        <v>64</v>
      </c>
      <c r="E439" s="18" t="n">
        <v>0.025</v>
      </c>
      <c r="F439" s="29" t="n">
        <f aca="false">IFERROR(INDEX(Insumos!$F$4:$F$168,MATCH($C439,Insumos!$A$4:$A$168,0)),1)</f>
        <v>1.134</v>
      </c>
      <c r="G439" s="30" t="n">
        <f aca="false">IFERROR(E439/F439,0)</f>
        <v>0.0220458553791887</v>
      </c>
      <c r="H439" s="31" t="n">
        <f aca="false">Insumos!$G$10</f>
        <v>6.05987778836343</v>
      </c>
      <c r="I439" s="27" t="n">
        <f aca="false">G439*H439</f>
        <v>0.133595189337818</v>
      </c>
    </row>
    <row r="440" customFormat="false" ht="15" hidden="false" customHeight="false" outlineLevel="0" collapsed="false">
      <c r="A440" s="15" t="s">
        <v>543</v>
      </c>
      <c r="B440" s="15" t="s">
        <v>544</v>
      </c>
      <c r="C440" s="16" t="s">
        <v>79</v>
      </c>
      <c r="D440" s="15" t="s">
        <v>80</v>
      </c>
      <c r="E440" s="18" t="n">
        <v>0.08</v>
      </c>
      <c r="F440" s="29" t="n">
        <f aca="false">IFERROR(INDEX(Insumos!$F$4:$F$168,MATCH($C440,Insumos!$A$4:$A$168,0)),1)</f>
        <v>1</v>
      </c>
      <c r="G440" s="30" t="n">
        <f aca="false">IFERROR(E440/F440,0)</f>
        <v>0.08</v>
      </c>
      <c r="H440" s="31" t="n">
        <f aca="false">Insumos!$G$18</f>
        <v>11.8525200805649</v>
      </c>
      <c r="I440" s="27" t="n">
        <f aca="false">G440*H440</f>
        <v>0.948201606445194</v>
      </c>
    </row>
    <row r="441" customFormat="false" ht="15" hidden="false" customHeight="false" outlineLevel="0" collapsed="false">
      <c r="A441" s="15" t="s">
        <v>543</v>
      </c>
      <c r="B441" s="15" t="s">
        <v>544</v>
      </c>
      <c r="C441" s="16" t="s">
        <v>171</v>
      </c>
      <c r="D441" s="15" t="s">
        <v>172</v>
      </c>
      <c r="E441" s="18" t="n">
        <v>0.03</v>
      </c>
      <c r="F441" s="29" t="n">
        <f aca="false">IFERROR(INDEX(Insumos!$F$4:$F$168,MATCH($C441,Insumos!$A$4:$A$168,0)),1)</f>
        <v>0.98</v>
      </c>
      <c r="G441" s="30" t="n">
        <f aca="false">IFERROR(E441/F441,0)</f>
        <v>0.0306122448979592</v>
      </c>
      <c r="H441" s="31" t="n">
        <f aca="false">IFERROR(INDEX(Insumos!$G$20:$G$168,MATCH($C441,Insumos!$A$20:$A$168,0)),0)</f>
        <v>7.9</v>
      </c>
      <c r="I441" s="27" t="n">
        <f aca="false">G441*H441</f>
        <v>0.241836734693878</v>
      </c>
    </row>
    <row r="442" customFormat="false" ht="15" hidden="false" customHeight="false" outlineLevel="0" collapsed="false">
      <c r="A442" s="15" t="s">
        <v>543</v>
      </c>
      <c r="B442" s="15" t="s">
        <v>544</v>
      </c>
      <c r="C442" s="16" t="s">
        <v>92</v>
      </c>
      <c r="D442" s="15" t="s">
        <v>93</v>
      </c>
      <c r="E442" s="18" t="n">
        <v>0.02</v>
      </c>
      <c r="F442" s="29" t="n">
        <f aca="false">IFERROR(INDEX(Insumos!$F$4:$F$168,MATCH($C442,Insumos!$A$4:$A$168,0)),1)</f>
        <v>0.79</v>
      </c>
      <c r="G442" s="30" t="n">
        <f aca="false">IFERROR(E442/F442,0)</f>
        <v>0.0253164556962025</v>
      </c>
      <c r="H442" s="31" t="n">
        <f aca="false">IFERROR(INDEX(Insumos!$G$20:$G$168,MATCH($C442,Insumos!$A$20:$A$168,0)),0)</f>
        <v>5</v>
      </c>
      <c r="I442" s="27" t="n">
        <f aca="false">G442*H442</f>
        <v>0.126582278481013</v>
      </c>
    </row>
    <row r="443" customFormat="false" ht="15" hidden="false" customHeight="false" outlineLevel="0" collapsed="false">
      <c r="A443" s="15" t="s">
        <v>543</v>
      </c>
      <c r="B443" s="15" t="s">
        <v>544</v>
      </c>
      <c r="C443" s="16" t="s">
        <v>81</v>
      </c>
      <c r="D443" s="15" t="s">
        <v>82</v>
      </c>
      <c r="E443" s="18" t="n">
        <v>0.02</v>
      </c>
      <c r="F443" s="29" t="n">
        <f aca="false">IFERROR(INDEX(Insumos!$F$4:$F$168,MATCH($C443,Insumos!$A$4:$A$168,0)),1)</f>
        <v>1.18</v>
      </c>
      <c r="G443" s="30" t="n">
        <f aca="false">IFERROR(E443/F443,0)</f>
        <v>0.0169491525423729</v>
      </c>
      <c r="H443" s="31" t="n">
        <f aca="false">Insumos!$G$19</f>
        <v>16.7694786183453</v>
      </c>
      <c r="I443" s="27" t="n">
        <f aca="false">G443*H443</f>
        <v>0.284228451158395</v>
      </c>
    </row>
    <row r="444" customFormat="false" ht="15" hidden="false" customHeight="false" outlineLevel="0" collapsed="false">
      <c r="A444" s="15" t="s">
        <v>546</v>
      </c>
      <c r="B444" s="15" t="s">
        <v>547</v>
      </c>
      <c r="C444" s="16" t="s">
        <v>63</v>
      </c>
      <c r="D444" s="15" t="s">
        <v>64</v>
      </c>
      <c r="E444" s="18" t="n">
        <v>0.025</v>
      </c>
      <c r="F444" s="29" t="n">
        <f aca="false">IFERROR(INDEX(Insumos!$F$4:$F$168,MATCH($C444,Insumos!$A$4:$A$168,0)),1)</f>
        <v>1.134</v>
      </c>
      <c r="G444" s="30" t="n">
        <f aca="false">IFERROR(E444/F444,0)</f>
        <v>0.0220458553791887</v>
      </c>
      <c r="H444" s="31" t="n">
        <f aca="false">Insumos!$G$10</f>
        <v>6.05987778836343</v>
      </c>
      <c r="I444" s="27" t="n">
        <f aca="false">G444*H444</f>
        <v>0.133595189337818</v>
      </c>
    </row>
    <row r="445" customFormat="false" ht="15" hidden="false" customHeight="false" outlineLevel="0" collapsed="false">
      <c r="A445" s="15" t="s">
        <v>546</v>
      </c>
      <c r="B445" s="15" t="s">
        <v>547</v>
      </c>
      <c r="C445" s="16" t="s">
        <v>393</v>
      </c>
      <c r="D445" s="15" t="s">
        <v>394</v>
      </c>
      <c r="E445" s="18" t="n">
        <v>0.03</v>
      </c>
      <c r="F445" s="29" t="n">
        <f aca="false">IFERROR(INDEX(Insumos!$F$4:$F$168,MATCH($C445,Insumos!$A$4:$A$168,0)),1)</f>
        <v>1</v>
      </c>
      <c r="G445" s="30" t="n">
        <f aca="false">IFERROR(E445/F445,0)</f>
        <v>0.03</v>
      </c>
      <c r="H445" s="31" t="n">
        <f aca="false">IFERROR(INDEX(Insumos!$G$20:$G$168,MATCH($C445,Insumos!$A$20:$A$168,0)),0)</f>
        <v>6</v>
      </c>
      <c r="I445" s="27" t="n">
        <f aca="false">G445*H445</f>
        <v>0.18</v>
      </c>
    </row>
    <row r="446" customFormat="false" ht="15" hidden="false" customHeight="false" outlineLevel="0" collapsed="false">
      <c r="A446" s="15" t="s">
        <v>546</v>
      </c>
      <c r="B446" s="15" t="s">
        <v>547</v>
      </c>
      <c r="C446" s="16" t="s">
        <v>92</v>
      </c>
      <c r="D446" s="15" t="s">
        <v>93</v>
      </c>
      <c r="E446" s="18" t="n">
        <v>0.02</v>
      </c>
      <c r="F446" s="29" t="n">
        <f aca="false">IFERROR(INDEX(Insumos!$F$4:$F$168,MATCH($C446,Insumos!$A$4:$A$168,0)),1)</f>
        <v>0.79</v>
      </c>
      <c r="G446" s="30" t="n">
        <f aca="false">IFERROR(E446/F446,0)</f>
        <v>0.0253164556962025</v>
      </c>
      <c r="H446" s="31" t="n">
        <f aca="false">IFERROR(INDEX(Insumos!$G$20:$G$168,MATCH($C446,Insumos!$A$20:$A$168,0)),0)</f>
        <v>5</v>
      </c>
      <c r="I446" s="27" t="n">
        <f aca="false">G446*H446</f>
        <v>0.126582278481013</v>
      </c>
    </row>
    <row r="447" customFormat="false" ht="15" hidden="false" customHeight="false" outlineLevel="0" collapsed="false">
      <c r="A447" s="15" t="s">
        <v>548</v>
      </c>
      <c r="B447" s="15" t="s">
        <v>549</v>
      </c>
      <c r="C447" s="16" t="s">
        <v>332</v>
      </c>
      <c r="D447" s="15" t="s">
        <v>333</v>
      </c>
      <c r="E447" s="18" t="n">
        <v>0.001</v>
      </c>
      <c r="F447" s="29" t="n">
        <f aca="false">IFERROR(INDEX(Insumos!$F$4:$F$168,MATCH($C447,Insumos!$A$4:$A$168,0)),1)</f>
        <v>0.98</v>
      </c>
      <c r="G447" s="30" t="n">
        <f aca="false">IFERROR(E447/F447,0)</f>
        <v>0.00102040816326531</v>
      </c>
      <c r="H447" s="31" t="n">
        <f aca="false">IFERROR(INDEX(Insumos!$G$20:$G$168,MATCH($C447,Insumos!$A$20:$A$168,0)),0)</f>
        <v>10</v>
      </c>
      <c r="I447" s="27" t="n">
        <f aca="false">G447*H447</f>
        <v>0.0102040816326531</v>
      </c>
    </row>
    <row r="448" customFormat="false" ht="15" hidden="false" customHeight="false" outlineLevel="0" collapsed="false">
      <c r="A448" s="15" t="s">
        <v>548</v>
      </c>
      <c r="B448" s="15" t="s">
        <v>549</v>
      </c>
      <c r="C448" s="16" t="s">
        <v>245</v>
      </c>
      <c r="D448" s="15" t="s">
        <v>246</v>
      </c>
      <c r="E448" s="18" t="n">
        <v>0.005</v>
      </c>
      <c r="F448" s="29" t="n">
        <f aca="false">IFERROR(INDEX(Insumos!$F$4:$F$168,MATCH($C448,Insumos!$A$4:$A$168,0)),1)</f>
        <v>0.95</v>
      </c>
      <c r="G448" s="30" t="n">
        <f aca="false">IFERROR(E448/F448,0)</f>
        <v>0.00526315789473684</v>
      </c>
      <c r="H448" s="31" t="n">
        <f aca="false">IFERROR(INDEX(Insumos!$G$20:$G$168,MATCH($C448,Insumos!$A$20:$A$168,0)),0)</f>
        <v>19.99</v>
      </c>
      <c r="I448" s="27" t="n">
        <f aca="false">G448*H448</f>
        <v>0.105210526315789</v>
      </c>
    </row>
    <row r="449" customFormat="false" ht="15" hidden="false" customHeight="false" outlineLevel="0" collapsed="false">
      <c r="A449" s="15" t="s">
        <v>548</v>
      </c>
      <c r="B449" s="15" t="s">
        <v>549</v>
      </c>
      <c r="C449" s="16" t="s">
        <v>382</v>
      </c>
      <c r="D449" s="15" t="s">
        <v>383</v>
      </c>
      <c r="E449" s="18" t="n">
        <v>0.001</v>
      </c>
      <c r="F449" s="29" t="n">
        <f aca="false">IFERROR(INDEX(Insumos!$F$4:$F$168,MATCH($C449,Insumos!$A$4:$A$168,0)),1)</f>
        <v>0.98</v>
      </c>
      <c r="G449" s="30" t="n">
        <f aca="false">IFERROR(E449/F449,0)</f>
        <v>0.00102040816326531</v>
      </c>
      <c r="H449" s="31" t="n">
        <f aca="false">IFERROR(INDEX(Insumos!$G$20:$G$168,MATCH($C449,Insumos!$A$20:$A$168,0)),0)</f>
        <v>9.9</v>
      </c>
      <c r="I449" s="27" t="n">
        <f aca="false">G449*H449</f>
        <v>0.0101020408163265</v>
      </c>
    </row>
    <row r="450" customFormat="false" ht="15" hidden="false" customHeight="false" outlineLevel="0" collapsed="false">
      <c r="A450" s="15" t="s">
        <v>548</v>
      </c>
      <c r="B450" s="15" t="s">
        <v>549</v>
      </c>
      <c r="C450" s="16" t="s">
        <v>83</v>
      </c>
      <c r="D450" s="15" t="s">
        <v>84</v>
      </c>
      <c r="E450" s="18" t="n">
        <v>0.05</v>
      </c>
      <c r="F450" s="29" t="n">
        <f aca="false">IFERROR(INDEX(Insumos!$F$4:$F$168,MATCH($C450,Insumos!$A$4:$A$168,0)),1)</f>
        <v>0.63</v>
      </c>
      <c r="G450" s="30" t="n">
        <f aca="false">IFERROR(E450/F450,0)</f>
        <v>0.0793650793650794</v>
      </c>
      <c r="H450" s="31" t="n">
        <f aca="false">IFERROR(INDEX(Insumos!$G$20:$G$168,MATCH($C450,Insumos!$A$20:$A$168,0)),0)</f>
        <v>4</v>
      </c>
      <c r="I450" s="27" t="n">
        <f aca="false">G450*H450</f>
        <v>0.317460317460318</v>
      </c>
    </row>
    <row r="451" customFormat="false" ht="15" hidden="false" customHeight="false" outlineLevel="0" collapsed="false">
      <c r="A451" s="15" t="s">
        <v>548</v>
      </c>
      <c r="B451" s="15" t="s">
        <v>549</v>
      </c>
      <c r="C451" s="16" t="s">
        <v>403</v>
      </c>
      <c r="D451" s="15" t="s">
        <v>404</v>
      </c>
      <c r="E451" s="18" t="n">
        <v>0.29</v>
      </c>
      <c r="F451" s="29" t="n">
        <f aca="false">IFERROR(INDEX(Insumos!$F$4:$F$168,MATCH($C451,Insumos!$A$4:$A$168,0)),1)</f>
        <v>0.98</v>
      </c>
      <c r="G451" s="30" t="n">
        <f aca="false">IFERROR(E451/F451,0)</f>
        <v>0.295918367346939</v>
      </c>
      <c r="H451" s="31" t="n">
        <f aca="false">IFERROR(INDEX(Insumos!$G$20:$G$168,MATCH($C451,Insumos!$A$20:$A$168,0)),0)</f>
        <v>1.5</v>
      </c>
      <c r="I451" s="27" t="n">
        <f aca="false">G451*H451</f>
        <v>0.443877551020408</v>
      </c>
    </row>
    <row r="452" customFormat="false" ht="15" hidden="false" customHeight="false" outlineLevel="0" collapsed="false">
      <c r="A452" s="15" t="s">
        <v>550</v>
      </c>
      <c r="B452" s="15" t="s">
        <v>551</v>
      </c>
      <c r="C452" s="16" t="s">
        <v>336</v>
      </c>
      <c r="D452" s="15" t="s">
        <v>337</v>
      </c>
      <c r="E452" s="18" t="n">
        <v>0.6</v>
      </c>
      <c r="F452" s="29" t="n">
        <f aca="false">IFERROR(INDEX(Insumos!$F$4:$F$168,MATCH($C452,Insumos!$A$4:$A$168,0)),1)</f>
        <v>1</v>
      </c>
      <c r="G452" s="30" t="n">
        <f aca="false">IFERROR(E452/F452,0)</f>
        <v>0.6</v>
      </c>
      <c r="H452" s="31" t="n">
        <f aca="false">IFERROR(INDEX(Insumos!$G$20:$G$168,MATCH($C452,Insumos!$A$20:$A$168,0)),0)</f>
        <v>15</v>
      </c>
      <c r="I452" s="27" t="n">
        <f aca="false">G452*H452</f>
        <v>9</v>
      </c>
    </row>
    <row r="453" customFormat="false" ht="15" hidden="false" customHeight="false" outlineLevel="0" collapsed="false">
      <c r="A453" s="15" t="s">
        <v>550</v>
      </c>
      <c r="B453" s="15" t="s">
        <v>551</v>
      </c>
      <c r="C453" s="16" t="s">
        <v>111</v>
      </c>
      <c r="D453" s="15" t="s">
        <v>112</v>
      </c>
      <c r="E453" s="18" t="n">
        <v>0.08</v>
      </c>
      <c r="F453" s="29" t="n">
        <f aca="false">IFERROR(INDEX(Insumos!$F$4:$F$168,MATCH($C453,Insumos!$A$4:$A$168,0)),1)</f>
        <v>0.98</v>
      </c>
      <c r="G453" s="30" t="n">
        <f aca="false">IFERROR(E453/F453,0)</f>
        <v>0.0816326530612245</v>
      </c>
      <c r="H453" s="31" t="n">
        <f aca="false">IFERROR(INDEX(Insumos!$G$20:$G$168,MATCH($C453,Insumos!$A$20:$A$168,0)),0)</f>
        <v>16.9</v>
      </c>
      <c r="I453" s="27" t="n">
        <f aca="false">G453*H453</f>
        <v>1.37959183673469</v>
      </c>
    </row>
    <row r="454" customFormat="false" ht="15" hidden="false" customHeight="false" outlineLevel="0" collapsed="false">
      <c r="A454" s="15" t="s">
        <v>550</v>
      </c>
      <c r="B454" s="15" t="s">
        <v>551</v>
      </c>
      <c r="C454" s="16" t="s">
        <v>342</v>
      </c>
      <c r="D454" s="15" t="s">
        <v>343</v>
      </c>
      <c r="E454" s="18" t="n">
        <v>0.06</v>
      </c>
      <c r="F454" s="29" t="n">
        <f aca="false">IFERROR(INDEX(Insumos!$F$4:$F$168,MATCH($C454,Insumos!$A$4:$A$168,0)),1)</f>
        <v>0.98</v>
      </c>
      <c r="G454" s="30" t="n">
        <f aca="false">IFERROR(E454/F454,0)</f>
        <v>0.0612244897959184</v>
      </c>
      <c r="H454" s="31" t="n">
        <f aca="false">IFERROR(INDEX(Insumos!$G$20:$G$168,MATCH($C454,Insumos!$A$20:$A$168,0)),0)</f>
        <v>5</v>
      </c>
      <c r="I454" s="27" t="n">
        <f aca="false">G454*H454</f>
        <v>0.306122448979592</v>
      </c>
    </row>
    <row r="455" customFormat="false" ht="15" hidden="false" customHeight="false" outlineLevel="0" collapsed="false">
      <c r="A455" s="15" t="s">
        <v>550</v>
      </c>
      <c r="B455" s="15" t="s">
        <v>551</v>
      </c>
      <c r="C455" s="16" t="s">
        <v>228</v>
      </c>
      <c r="D455" s="15" t="s">
        <v>229</v>
      </c>
      <c r="E455" s="18" t="n">
        <v>0.02</v>
      </c>
      <c r="F455" s="29" t="n">
        <f aca="false">IFERROR(INDEX(Insumos!$F$4:$F$168,MATCH($C455,Insumos!$A$4:$A$168,0)),1)</f>
        <v>0.98</v>
      </c>
      <c r="G455" s="30" t="n">
        <f aca="false">IFERROR(E455/F455,0)</f>
        <v>0.0204081632653061</v>
      </c>
      <c r="H455" s="31" t="n">
        <f aca="false">IFERROR(INDEX(Insumos!$G$20:$G$168,MATCH($C455,Insumos!$A$20:$A$168,0)),0)</f>
        <v>55.96</v>
      </c>
      <c r="I455" s="27" t="n">
        <f aca="false">G455*H455</f>
        <v>1.14204081632653</v>
      </c>
    </row>
    <row r="456" customFormat="false" ht="15" hidden="false" customHeight="false" outlineLevel="0" collapsed="false">
      <c r="A456" s="15" t="s">
        <v>550</v>
      </c>
      <c r="B456" s="15" t="s">
        <v>551</v>
      </c>
      <c r="C456" s="16" t="s">
        <v>366</v>
      </c>
      <c r="D456" s="15" t="s">
        <v>367</v>
      </c>
      <c r="E456" s="18" t="n">
        <v>0.001</v>
      </c>
      <c r="F456" s="29" t="n">
        <f aca="false">IFERROR(INDEX(Insumos!$F$4:$F$168,MATCH($C456,Insumos!$A$4:$A$168,0)),1)</f>
        <v>0.98</v>
      </c>
      <c r="G456" s="30" t="n">
        <f aca="false">IFERROR(E456/F456,0)</f>
        <v>0.00102040816326531</v>
      </c>
      <c r="H456" s="31" t="n">
        <f aca="false">IFERROR(INDEX(Insumos!$G$20:$G$168,MATCH($C456,Insumos!$A$20:$A$168,0)),0)</f>
        <v>5</v>
      </c>
      <c r="I456" s="27" t="n">
        <f aca="false">G456*H456</f>
        <v>0.00510204081632653</v>
      </c>
    </row>
    <row r="457" customFormat="false" ht="15" hidden="false" customHeight="false" outlineLevel="0" collapsed="false">
      <c r="A457" s="15" t="s">
        <v>550</v>
      </c>
      <c r="B457" s="15" t="s">
        <v>551</v>
      </c>
      <c r="C457" s="16" t="s">
        <v>150</v>
      </c>
      <c r="D457" s="15" t="s">
        <v>151</v>
      </c>
      <c r="E457" s="18" t="n">
        <v>0.6</v>
      </c>
      <c r="F457" s="29" t="n">
        <f aca="false">IFERROR(INDEX(Insumos!$F$4:$F$168,MATCH($C457,Insumos!$A$4:$A$168,0)),1)</f>
        <v>0.95</v>
      </c>
      <c r="G457" s="30" t="n">
        <f aca="false">IFERROR(E457/F457,0)</f>
        <v>0.631578947368421</v>
      </c>
      <c r="H457" s="31" t="n">
        <f aca="false">IFERROR(INDEX(Insumos!$G$20:$G$168,MATCH($C457,Insumos!$A$20:$A$168,0)),0)</f>
        <v>30</v>
      </c>
      <c r="I457" s="27" t="n">
        <f aca="false">G457*H457</f>
        <v>18.9473684210526</v>
      </c>
    </row>
    <row r="458" customFormat="false" ht="15" hidden="false" customHeight="false" outlineLevel="0" collapsed="false">
      <c r="A458" s="15" t="s">
        <v>550</v>
      </c>
      <c r="B458" s="15" t="s">
        <v>551</v>
      </c>
      <c r="C458" s="16" t="s">
        <v>363</v>
      </c>
      <c r="D458" s="15" t="s">
        <v>364</v>
      </c>
      <c r="E458" s="18" t="n">
        <v>0.3</v>
      </c>
      <c r="F458" s="29" t="n">
        <f aca="false">IFERROR(INDEX(Insumos!$F$4:$F$168,MATCH($C458,Insumos!$A$4:$A$168,0)),1)</f>
        <v>0.98</v>
      </c>
      <c r="G458" s="30" t="n">
        <f aca="false">IFERROR(E458/F458,0)</f>
        <v>0.306122448979592</v>
      </c>
      <c r="H458" s="31" t="n">
        <f aca="false">IFERROR(INDEX(Insumos!$G$20:$G$168,MATCH($C458,Insumos!$A$20:$A$168,0)),0)</f>
        <v>35</v>
      </c>
      <c r="I458" s="27" t="n">
        <f aca="false">G458*H458</f>
        <v>10.7142857142857</v>
      </c>
    </row>
    <row r="459" customFormat="false" ht="15" hidden="false" customHeight="false" outlineLevel="0" collapsed="false">
      <c r="A459" s="15" t="s">
        <v>550</v>
      </c>
      <c r="B459" s="15" t="s">
        <v>551</v>
      </c>
      <c r="C459" s="16" t="s">
        <v>206</v>
      </c>
      <c r="D459" s="15" t="s">
        <v>207</v>
      </c>
      <c r="E459" s="18" t="n">
        <v>0.001</v>
      </c>
      <c r="F459" s="29" t="n">
        <f aca="false">IFERROR(INDEX(Insumos!$F$4:$F$168,MATCH($C459,Insumos!$A$4:$A$168,0)),1)</f>
        <v>0.98</v>
      </c>
      <c r="G459" s="30" t="n">
        <f aca="false">IFERROR(E459/F459,0)</f>
        <v>0.00102040816326531</v>
      </c>
      <c r="H459" s="31" t="n">
        <f aca="false">IFERROR(INDEX(Insumos!$G$20:$G$168,MATCH($C459,Insumos!$A$20:$A$168,0)),0)</f>
        <v>9.54</v>
      </c>
      <c r="I459" s="27" t="n">
        <f aca="false">G459*H459</f>
        <v>0.00973469387755102</v>
      </c>
    </row>
    <row r="460" customFormat="false" ht="15" hidden="false" customHeight="false" outlineLevel="0" collapsed="false">
      <c r="A460" s="15" t="s">
        <v>550</v>
      </c>
      <c r="B460" s="15" t="s">
        <v>551</v>
      </c>
      <c r="C460" s="16" t="s">
        <v>370</v>
      </c>
      <c r="D460" s="15" t="s">
        <v>371</v>
      </c>
      <c r="E460" s="18" t="n">
        <v>0.001</v>
      </c>
      <c r="F460" s="29" t="n">
        <f aca="false">IFERROR(INDEX(Insumos!$F$4:$F$168,MATCH($C460,Insumos!$A$4:$A$168,0)),1)</f>
        <v>0.83</v>
      </c>
      <c r="G460" s="30" t="n">
        <f aca="false">IFERROR(E460/F460,0)</f>
        <v>0.00120481927710843</v>
      </c>
      <c r="H460" s="31" t="n">
        <f aca="false">IFERROR(INDEX(Insumos!$G$20:$G$168,MATCH($C460,Insumos!$A$20:$A$168,0)),0)</f>
        <v>22.5</v>
      </c>
      <c r="I460" s="27" t="n">
        <f aca="false">G460*H460</f>
        <v>0.0271084337349398</v>
      </c>
    </row>
    <row r="461" customFormat="false" ht="15" hidden="false" customHeight="false" outlineLevel="0" collapsed="false">
      <c r="A461" s="15" t="s">
        <v>552</v>
      </c>
      <c r="B461" s="15" t="s">
        <v>553</v>
      </c>
      <c r="C461" s="16" t="s">
        <v>56</v>
      </c>
      <c r="D461" s="15" t="s">
        <v>57</v>
      </c>
      <c r="E461" s="18" t="n">
        <v>0.35</v>
      </c>
      <c r="F461" s="29" t="n">
        <f aca="false">IFERROR(INDEX(Insumos!$F$4:$F$168,MATCH($C461,Insumos!$A$4:$A$168,0)),1)</f>
        <v>1</v>
      </c>
      <c r="G461" s="30" t="n">
        <f aca="false">IFERROR(E461/F461,0)</f>
        <v>0.35</v>
      </c>
      <c r="H461" s="31" t="n">
        <f aca="false">Insumos!$G$7</f>
        <v>34.8859116222301</v>
      </c>
      <c r="I461" s="27" t="n">
        <f aca="false">G461*H461</f>
        <v>12.2100690677805</v>
      </c>
    </row>
    <row r="462" customFormat="false" ht="15" hidden="false" customHeight="false" outlineLevel="0" collapsed="false">
      <c r="A462" s="15" t="s">
        <v>552</v>
      </c>
      <c r="B462" s="15" t="s">
        <v>553</v>
      </c>
      <c r="C462" s="16" t="s">
        <v>216</v>
      </c>
      <c r="D462" s="15" t="s">
        <v>217</v>
      </c>
      <c r="E462" s="18" t="n">
        <v>0.11</v>
      </c>
      <c r="F462" s="29" t="n">
        <f aca="false">IFERROR(INDEX(Insumos!$F$4:$F$168,MATCH($C462,Insumos!$A$4:$A$168,0)),1)</f>
        <v>0.98</v>
      </c>
      <c r="G462" s="30" t="n">
        <f aca="false">IFERROR(E462/F462,0)</f>
        <v>0.112244897959184</v>
      </c>
      <c r="H462" s="31" t="n">
        <f aca="false">IFERROR(INDEX(Insumos!$G$20:$G$168,MATCH($C462,Insumos!$A$20:$A$168,0)),0)</f>
        <v>36.8</v>
      </c>
      <c r="I462" s="27" t="n">
        <f aca="false">G462*H462</f>
        <v>4.13061224489796</v>
      </c>
    </row>
    <row r="463" customFormat="false" ht="15" hidden="false" customHeight="false" outlineLevel="0" collapsed="false">
      <c r="A463" s="15" t="s">
        <v>552</v>
      </c>
      <c r="B463" s="15" t="s">
        <v>553</v>
      </c>
      <c r="C463" s="16" t="s">
        <v>319</v>
      </c>
      <c r="D463" s="15" t="s">
        <v>320</v>
      </c>
      <c r="E463" s="18" t="n">
        <v>0.33</v>
      </c>
      <c r="F463" s="29" t="n">
        <f aca="false">IFERROR(INDEX(Insumos!$F$4:$F$168,MATCH($C463,Insumos!$A$4:$A$168,0)),1)</f>
        <v>0.98</v>
      </c>
      <c r="G463" s="30" t="n">
        <f aca="false">IFERROR(E463/F463,0)</f>
        <v>0.336734693877551</v>
      </c>
      <c r="H463" s="31" t="n">
        <f aca="false">IFERROR(INDEX(Insumos!$G$20:$G$168,MATCH($C463,Insumos!$A$20:$A$168,0)),0)</f>
        <v>16.0746</v>
      </c>
      <c r="I463" s="27" t="n">
        <f aca="false">G463*H463</f>
        <v>5.41287551020408</v>
      </c>
    </row>
    <row r="464" customFormat="false" ht="15" hidden="false" customHeight="false" outlineLevel="0" collapsed="false">
      <c r="A464" s="15" t="s">
        <v>552</v>
      </c>
      <c r="B464" s="15" t="s">
        <v>553</v>
      </c>
      <c r="C464" s="16" t="s">
        <v>403</v>
      </c>
      <c r="D464" s="15" t="s">
        <v>404</v>
      </c>
      <c r="E464" s="18" t="n">
        <v>0.5</v>
      </c>
      <c r="F464" s="29" t="n">
        <f aca="false">IFERROR(INDEX(Insumos!$F$4:$F$168,MATCH($C464,Insumos!$A$4:$A$168,0)),1)</f>
        <v>0.98</v>
      </c>
      <c r="G464" s="30" t="n">
        <f aca="false">IFERROR(E464/F464,0)</f>
        <v>0.510204081632653</v>
      </c>
      <c r="H464" s="31" t="n">
        <f aca="false">IFERROR(INDEX(Insumos!$G$20:$G$168,MATCH($C464,Insumos!$A$20:$A$168,0)),0)</f>
        <v>1.5</v>
      </c>
      <c r="I464" s="27" t="n">
        <f aca="false">G464*H464</f>
        <v>0.76530612244898</v>
      </c>
    </row>
    <row r="465" customFormat="false" ht="15" hidden="false" customHeight="false" outlineLevel="0" collapsed="false">
      <c r="A465" s="15" t="s">
        <v>552</v>
      </c>
      <c r="B465" s="15" t="s">
        <v>553</v>
      </c>
      <c r="C465" s="16" t="s">
        <v>118</v>
      </c>
      <c r="D465" s="15" t="s">
        <v>119</v>
      </c>
      <c r="E465" s="18" t="n">
        <v>0.05</v>
      </c>
      <c r="F465" s="29" t="n">
        <f aca="false">IFERROR(INDEX(Insumos!$F$4:$F$168,MATCH($C465,Insumos!$A$4:$A$168,0)),1)</f>
        <v>0.95</v>
      </c>
      <c r="G465" s="30" t="n">
        <f aca="false">IFERROR(E465/F465,0)</f>
        <v>0.0526315789473684</v>
      </c>
      <c r="H465" s="31" t="n">
        <f aca="false">IFERROR(INDEX(Insumos!$G$20:$G$168,MATCH($C465,Insumos!$A$20:$A$168,0)),0)</f>
        <v>20</v>
      </c>
      <c r="I465" s="27" t="n">
        <f aca="false">G465*H465</f>
        <v>1.05263157894737</v>
      </c>
    </row>
    <row r="466" customFormat="false" ht="15" hidden="false" customHeight="false" outlineLevel="0" collapsed="false">
      <c r="A466" s="15" t="s">
        <v>552</v>
      </c>
      <c r="B466" s="15" t="s">
        <v>553</v>
      </c>
      <c r="C466" s="16" t="s">
        <v>228</v>
      </c>
      <c r="D466" s="15" t="s">
        <v>229</v>
      </c>
      <c r="E466" s="18" t="n">
        <v>0.01</v>
      </c>
      <c r="F466" s="29" t="n">
        <f aca="false">IFERROR(INDEX(Insumos!$F$4:$F$168,MATCH($C466,Insumos!$A$4:$A$168,0)),1)</f>
        <v>0.98</v>
      </c>
      <c r="G466" s="30" t="n">
        <f aca="false">IFERROR(E466/F466,0)</f>
        <v>0.0102040816326531</v>
      </c>
      <c r="H466" s="31" t="n">
        <f aca="false">IFERROR(INDEX(Insumos!$G$20:$G$168,MATCH($C466,Insumos!$A$20:$A$168,0)),0)</f>
        <v>55.96</v>
      </c>
      <c r="I466" s="27" t="n">
        <f aca="false">G466*H466</f>
        <v>0.571020408163265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60"/>
  </cols>
  <sheetData>
    <row r="1" customFormat="false" ht="21.75" hidden="false" customHeight="true" outlineLevel="0" collapsed="false">
      <c r="A1" s="5" t="s">
        <v>562</v>
      </c>
    </row>
    <row r="2" customFormat="false" ht="15" hidden="false" customHeight="false" outlineLevel="0" collapsed="false">
      <c r="A2" s="6" t="s">
        <v>563</v>
      </c>
    </row>
    <row r="3" customFormat="false" ht="30" hidden="false" customHeight="true" outlineLevel="0" collapsed="false">
      <c r="A3" s="7" t="s">
        <v>564</v>
      </c>
      <c r="B3" s="7" t="s">
        <v>565</v>
      </c>
      <c r="C3" s="7" t="s">
        <v>566</v>
      </c>
    </row>
    <row r="4" customFormat="false" ht="15" hidden="false" customHeight="false" outlineLevel="0" collapsed="false">
      <c r="A4" s="15" t="s">
        <v>567</v>
      </c>
      <c r="B4" s="32" t="n">
        <f aca="false">COUNTA(Produtos!$A$4:$A$76)</f>
        <v>73</v>
      </c>
      <c r="C4" s="21" t="s">
        <v>568</v>
      </c>
    </row>
    <row r="5" customFormat="false" ht="15" hidden="false" customHeight="false" outlineLevel="0" collapsed="false">
      <c r="A5" s="15" t="s">
        <v>569</v>
      </c>
      <c r="B5" s="32" t="n">
        <f aca="false">COUNTIF(Produtos!$O$4:$O$76,"&gt;0")</f>
        <v>73</v>
      </c>
      <c r="C5" s="21" t="s">
        <v>570</v>
      </c>
    </row>
    <row r="6" customFormat="false" ht="15" hidden="false" customHeight="false" outlineLevel="0" collapsed="false">
      <c r="A6" s="15" t="s">
        <v>571</v>
      </c>
      <c r="B6" s="32" t="n">
        <f aca="false">SUMPRODUCT((Produtos!$O$4:$O$76&gt;0)*(ABS(Produtos!$P$4:$P$76)&lt;0.01))</f>
        <v>45</v>
      </c>
      <c r="C6" s="21" t="s">
        <v>572</v>
      </c>
    </row>
    <row r="7" customFormat="false" ht="15" hidden="false" customHeight="false" outlineLevel="0" collapsed="false">
      <c r="A7" s="15" t="s">
        <v>573</v>
      </c>
      <c r="B7" s="32" t="n">
        <f aca="false">SUMPRODUCT((Produtos!$O$4:$O$76&gt;0)*(ABS(Produtos!$P$4:$P$76)&gt;=0.01))</f>
        <v>28</v>
      </c>
      <c r="C7" s="21" t="s">
        <v>574</v>
      </c>
    </row>
    <row r="8" customFormat="false" ht="15" hidden="false" customHeight="false" outlineLevel="0" collapsed="false">
      <c r="A8" s="15" t="s">
        <v>575</v>
      </c>
      <c r="B8" s="33" t="n">
        <f aca="false">MAX(Produtos!$P$4:$P$76)</f>
        <v>7.33513727401041</v>
      </c>
      <c r="C8" s="21" t="s">
        <v>576</v>
      </c>
    </row>
    <row r="9" customFormat="false" ht="15" hidden="false" customHeight="false" outlineLevel="0" collapsed="false">
      <c r="A9" s="15" t="s">
        <v>577</v>
      </c>
      <c r="B9" s="33" t="n">
        <f aca="false">MIN(Produtos!$P$4:$P$76)</f>
        <v>-0.22019212495035</v>
      </c>
      <c r="C9" s="21" t="s">
        <v>578</v>
      </c>
    </row>
    <row r="10" customFormat="false" ht="15" hidden="false" customHeight="false" outlineLevel="0" collapsed="false">
      <c r="A10" s="15" t="s">
        <v>579</v>
      </c>
      <c r="B10" s="32" t="n">
        <f aca="false">COUNTA(Insumos!$A$4:$A$168)</f>
        <v>165</v>
      </c>
      <c r="C10" s="21" t="s">
        <v>580</v>
      </c>
    </row>
    <row r="11" customFormat="false" ht="15" hidden="false" customHeight="false" outlineLevel="0" collapsed="false">
      <c r="A11" s="15" t="s">
        <v>581</v>
      </c>
      <c r="B11" s="32" t="n">
        <f aca="false">COUNTIF(Insumos!$G$20:$G$168,0)</f>
        <v>0</v>
      </c>
      <c r="C11" s="21" t="s">
        <v>582</v>
      </c>
    </row>
    <row r="12" customFormat="false" ht="15" hidden="false" customHeight="false" outlineLevel="0" collapsed="false">
      <c r="A12" s="15" t="s">
        <v>583</v>
      </c>
      <c r="B12" s="32" t="n">
        <f aca="false">COUNTBLANK(Insumos!$I$20:$I$168)</f>
        <v>149</v>
      </c>
      <c r="C12" s="21" t="s">
        <v>584</v>
      </c>
    </row>
    <row r="15" customFormat="false" ht="15" hidden="false" customHeight="false" outlineLevel="0" collapsed="false">
      <c r="A15" s="34" t="s">
        <v>585</v>
      </c>
    </row>
    <row r="16" customFormat="false" ht="15" hidden="false" customHeight="false" outlineLevel="0" collapsed="false">
      <c r="A16" s="35" t="s">
        <v>557</v>
      </c>
      <c r="B16" s="35" t="s">
        <v>586</v>
      </c>
      <c r="C16" s="35" t="s">
        <v>587</v>
      </c>
    </row>
    <row r="17" customFormat="false" ht="15" hidden="false" customHeight="false" outlineLevel="0" collapsed="false">
      <c r="A17" s="15" t="str">
        <f aca="false">IF(ABS(Produtos!$P$4)&lt;0.01,"",Produtos!$B$4)</f>
        <v>Caldo de Batata Doce</v>
      </c>
      <c r="B17" s="26" t="n">
        <f aca="false">IF(ABS(Produtos!$P$4)&lt;0.01,"",Produtos!$K$4)</f>
        <v>5.38818297991353</v>
      </c>
      <c r="C17" s="26" t="n">
        <f aca="false">IF(ABS(Produtos!$P$4)&lt;0.01,"",Produtos!$O$4)</f>
        <v>5.3232</v>
      </c>
    </row>
    <row r="18" customFormat="false" ht="15" hidden="false" customHeight="false" outlineLevel="0" collapsed="false">
      <c r="A18" s="15" t="str">
        <f aca="false">IF(ABS(Produtos!$P$5)&lt;0.01,"",Produtos!$B$5)</f>
        <v>Caldo de Cabotia</v>
      </c>
      <c r="B18" s="26" t="n">
        <f aca="false">IF(ABS(Produtos!$P$5)&lt;0.01,"",Produtos!$K$5)</f>
        <v>5.34154471137343</v>
      </c>
      <c r="C18" s="26" t="n">
        <f aca="false">IF(ABS(Produtos!$P$5)&lt;0.01,"",Produtos!$O$5)</f>
        <v>5.2765</v>
      </c>
    </row>
    <row r="19" customFormat="false" ht="15" hidden="false" customHeight="false" outlineLevel="0" collapsed="false">
      <c r="A19" s="15" t="str">
        <f aca="false">IF(ABS(Produtos!$P$6)&lt;0.01,"",Produtos!$B$6)</f>
        <v>Caldo de Legumes e Frango</v>
      </c>
      <c r="B19" s="26" t="n">
        <f aca="false">IF(ABS(Produtos!$P$6)&lt;0.01,"",Produtos!$K$6)</f>
        <v>6.16838706886263</v>
      </c>
      <c r="C19" s="26" t="n">
        <f aca="false">IF(ABS(Produtos!$P$6)&lt;0.01,"",Produtos!$O$6)</f>
        <v>6.1034</v>
      </c>
    </row>
    <row r="20" customFormat="false" ht="15" hidden="false" customHeight="false" outlineLevel="0" collapsed="false">
      <c r="A20" s="15" t="str">
        <f aca="false">IF(ABS(Produtos!$P$7)&lt;0.01,"",Produtos!$B$7)</f>
        <v>Coxinha Massa Trad</v>
      </c>
      <c r="B20" s="26" t="n">
        <f aca="false">IF(ABS(Produtos!$P$7)&lt;0.01,"",Produtos!$K$7)</f>
        <v>3.60987176207241</v>
      </c>
      <c r="C20" s="26" t="n">
        <f aca="false">IF(ABS(Produtos!$P$7)&lt;0.01,"",Produtos!$O$7)</f>
        <v>3.5749</v>
      </c>
    </row>
    <row r="21" customFormat="false" ht="15" hidden="false" customHeight="false" outlineLevel="0" collapsed="false">
      <c r="A21" s="15" t="str">
        <f aca="false">IF(ABS(Produtos!$P$8)&lt;0.01,"",Produtos!$B$8)</f>
        <v/>
      </c>
      <c r="B21" s="26" t="str">
        <f aca="false">IF(ABS(Produtos!$P$8)&lt;0.01,"",Produtos!$K$8)</f>
        <v/>
      </c>
      <c r="C21" s="26" t="str">
        <f aca="false">IF(ABS(Produtos!$P$8)&lt;0.01,"",Produtos!$O$8)</f>
        <v/>
      </c>
    </row>
    <row r="22" customFormat="false" ht="15" hidden="false" customHeight="false" outlineLevel="0" collapsed="false">
      <c r="A22" s="15" t="str">
        <f aca="false">IF(ABS(Produtos!$P$9)&lt;0.01,"",Produtos!$B$9)</f>
        <v>Esfira de Carne</v>
      </c>
      <c r="B22" s="26" t="n">
        <f aca="false">IF(ABS(Produtos!$P$9)&lt;0.01,"",Produtos!$K$9)</f>
        <v>6.06824000022533</v>
      </c>
      <c r="C22" s="26" t="n">
        <f aca="false">IF(ABS(Produtos!$P$9)&lt;0.01,"",Produtos!$O$9)</f>
        <v>6.1932</v>
      </c>
    </row>
    <row r="23" customFormat="false" ht="15" hidden="false" customHeight="false" outlineLevel="0" collapsed="false">
      <c r="A23" s="15" t="str">
        <f aca="false">IF(ABS(Produtos!$P$10)&lt;0.01,"",Produtos!$B$10)</f>
        <v/>
      </c>
      <c r="B23" s="26" t="str">
        <f aca="false">IF(ABS(Produtos!$P$10)&lt;0.01,"",Produtos!$K$10)</f>
        <v/>
      </c>
      <c r="C23" s="26" t="str">
        <f aca="false">IF(ABS(Produtos!$P$10)&lt;0.01,"",Produtos!$O$10)</f>
        <v/>
      </c>
    </row>
    <row r="24" customFormat="false" ht="15" hidden="false" customHeight="false" outlineLevel="0" collapsed="false">
      <c r="A24" s="15" t="str">
        <f aca="false">IF(ABS(Produtos!$P$11)&lt;0.01,"",Produtos!$B$11)</f>
        <v/>
      </c>
      <c r="B24" s="26" t="str">
        <f aca="false">IF(ABS(Produtos!$P$11)&lt;0.01,"",Produtos!$K$11)</f>
        <v/>
      </c>
      <c r="C24" s="26" t="str">
        <f aca="false">IF(ABS(Produtos!$P$11)&lt;0.01,"",Produtos!$O$11)</f>
        <v/>
      </c>
    </row>
    <row r="25" customFormat="false" ht="15" hidden="false" customHeight="false" outlineLevel="0" collapsed="false">
      <c r="A25" s="15" t="str">
        <f aca="false">IF(ABS(Produtos!$P$12)&lt;0.01,"",Produtos!$B$12)</f>
        <v>Quiche de Brócolis</v>
      </c>
      <c r="B25" s="26" t="n">
        <f aca="false">IF(ABS(Produtos!$P$12)&lt;0.01,"",Produtos!$K$12)</f>
        <v>4.06202233376858</v>
      </c>
      <c r="C25" s="26" t="n">
        <f aca="false">IF(ABS(Produtos!$P$12)&lt;0.01,"",Produtos!$O$12)</f>
        <v>3.9601</v>
      </c>
    </row>
    <row r="26" customFormat="false" ht="15" hidden="false" customHeight="false" outlineLevel="0" collapsed="false">
      <c r="A26" s="15" t="str">
        <f aca="false">IF(ABS(Produtos!$P$13)&lt;0.01,"",Produtos!$B$13)</f>
        <v/>
      </c>
      <c r="B26" s="26" t="str">
        <f aca="false">IF(ABS(Produtos!$P$13)&lt;0.01,"",Produtos!$K$13)</f>
        <v/>
      </c>
      <c r="C26" s="26" t="str">
        <f aca="false">IF(ABS(Produtos!$P$13)&lt;0.01,"",Produtos!$O$13)</f>
        <v/>
      </c>
    </row>
    <row r="27" customFormat="false" ht="15" hidden="false" customHeight="false" outlineLevel="0" collapsed="false">
      <c r="A27" s="15" t="str">
        <f aca="false">IF(ABS(Produtos!$P$14)&lt;0.01,"",Produtos!$B$14)</f>
        <v>Sanduba de Pao-nobis, Frango e Requeiju</v>
      </c>
      <c r="B27" s="26" t="n">
        <f aca="false">IF(ABS(Produtos!$P$14)&lt;0.01,"",Produtos!$K$14)</f>
        <v>3.34999759547143</v>
      </c>
      <c r="C27" s="26" t="n">
        <f aca="false">IF(ABS(Produtos!$P$14)&lt;0.01,"",Produtos!$O$14)</f>
        <v>3.3114</v>
      </c>
    </row>
    <row r="28" customFormat="false" ht="15" hidden="false" customHeight="false" outlineLevel="0" collapsed="false">
      <c r="A28" s="15" t="str">
        <f aca="false">IF(ABS(Produtos!$P$15)&lt;0.01,"",Produtos!$B$15)</f>
        <v>Torta Salgada de Frango</v>
      </c>
      <c r="B28" s="26" t="n">
        <f aca="false">IF(ABS(Produtos!$P$15)&lt;0.01,"",Produtos!$K$15)</f>
        <v>2.92657960750402</v>
      </c>
      <c r="C28" s="26" t="n">
        <f aca="false">IF(ABS(Produtos!$P$15)&lt;0.01,"",Produtos!$O$15)</f>
        <v>2.8823</v>
      </c>
    </row>
    <row r="29" customFormat="false" ht="15" hidden="false" customHeight="false" outlineLevel="0" collapsed="false">
      <c r="A29" s="15" t="str">
        <f aca="false">IF(ABS(Produtos!$P$16)&lt;0.01,"",Produtos!$B$16)</f>
        <v/>
      </c>
      <c r="B29" s="26" t="str">
        <f aca="false">IF(ABS(Produtos!$P$16)&lt;0.01,"",Produtos!$K$16)</f>
        <v/>
      </c>
      <c r="C29" s="26" t="str">
        <f aca="false">IF(ABS(Produtos!$P$16)&lt;0.01,"",Produtos!$O$16)</f>
        <v/>
      </c>
    </row>
    <row r="30" customFormat="false" ht="15" hidden="false" customHeight="false" outlineLevel="0" collapsed="false">
      <c r="A30" s="15" t="str">
        <f aca="false">IF(ABS(Produtos!$P$17)&lt;0.01,"",Produtos!$B$17)</f>
        <v/>
      </c>
      <c r="B30" s="26" t="str">
        <f aca="false">IF(ABS(Produtos!$P$17)&lt;0.01,"",Produtos!$K$17)</f>
        <v/>
      </c>
      <c r="C30" s="26" t="str">
        <f aca="false">IF(ABS(Produtos!$P$17)&lt;0.01,"",Produtos!$O$17)</f>
        <v/>
      </c>
    </row>
    <row r="31" customFormat="false" ht="15" hidden="false" customHeight="false" outlineLevel="0" collapsed="false">
      <c r="A31" s="15" t="str">
        <f aca="false">IF(ABS(Produtos!$P$18)&lt;0.01,"",Produtos!$B$18)</f>
        <v/>
      </c>
      <c r="B31" s="26" t="str">
        <f aca="false">IF(ABS(Produtos!$P$18)&lt;0.01,"",Produtos!$K$18)</f>
        <v/>
      </c>
      <c r="C31" s="26" t="str">
        <f aca="false">IF(ABS(Produtos!$P$18)&lt;0.01,"",Produtos!$O$18)</f>
        <v/>
      </c>
    </row>
    <row r="32" customFormat="false" ht="15" hidden="false" customHeight="false" outlineLevel="0" collapsed="false">
      <c r="A32" s="15" t="str">
        <f aca="false">IF(ABS(Produtos!$P$19)&lt;0.01,"",Produtos!$B$19)</f>
        <v>Croquete de Batata e Frango</v>
      </c>
      <c r="B32" s="26" t="n">
        <f aca="false">IF(ABS(Produtos!$P$19)&lt;0.01,"",Produtos!$K$19)</f>
        <v>3.15170181569438</v>
      </c>
      <c r="C32" s="26" t="n">
        <f aca="false">IF(ABS(Produtos!$P$19)&lt;0.01,"",Produtos!$O$19)</f>
        <v>3.0867</v>
      </c>
    </row>
    <row r="33" customFormat="false" ht="15" hidden="false" customHeight="false" outlineLevel="0" collapsed="false">
      <c r="A33" s="15" t="str">
        <f aca="false">IF(ABS(Produtos!$P$20)&lt;0.01,"",Produtos!$B$20)</f>
        <v/>
      </c>
      <c r="B33" s="26" t="str">
        <f aca="false">IF(ABS(Produtos!$P$20)&lt;0.01,"",Produtos!$K$20)</f>
        <v/>
      </c>
      <c r="C33" s="26" t="str">
        <f aca="false">IF(ABS(Produtos!$P$20)&lt;0.01,"",Produtos!$O$20)</f>
        <v/>
      </c>
    </row>
    <row r="34" customFormat="false" ht="15" hidden="false" customHeight="false" outlineLevel="0" collapsed="false">
      <c r="A34" s="15" t="str">
        <f aca="false">IF(ABS(Produtos!$P$21)&lt;0.01,"",Produtos!$B$21)</f>
        <v>Empada de Frango</v>
      </c>
      <c r="B34" s="26" t="n">
        <f aca="false">IF(ABS(Produtos!$P$21)&lt;0.01,"",Produtos!$K$21)</f>
        <v>1.94867593664703</v>
      </c>
      <c r="C34" s="26" t="n">
        <f aca="false">IF(ABS(Produtos!$P$21)&lt;0.01,"",Produtos!$O$21)</f>
        <v>1.36</v>
      </c>
    </row>
    <row r="35" customFormat="false" ht="15" hidden="false" customHeight="false" outlineLevel="0" collapsed="false">
      <c r="A35" s="15" t="str">
        <f aca="false">IF(ABS(Produtos!$P$22)&lt;0.01,"",Produtos!$B$22)</f>
        <v>Empadinha Veg</v>
      </c>
      <c r="B35" s="26" t="n">
        <f aca="false">IF(ABS(Produtos!$P$22)&lt;0.01,"",Produtos!$K$22)</f>
        <v>0.423117117093698</v>
      </c>
      <c r="C35" s="26" t="n">
        <f aca="false">IF(ABS(Produtos!$P$22)&lt;0.01,"",Produtos!$O$22)</f>
        <v>0.1421</v>
      </c>
    </row>
    <row r="36" customFormat="false" ht="15" hidden="false" customHeight="false" outlineLevel="0" collapsed="false">
      <c r="A36" s="15" t="str">
        <f aca="false">IF(ABS(Produtos!$P$23)&lt;0.01,"",Produtos!$B$23)</f>
        <v>Empadinha de Carne</v>
      </c>
      <c r="B36" s="26" t="n">
        <f aca="false">IF(ABS(Produtos!$P$23)&lt;0.01,"",Produtos!$K$23)</f>
        <v>0.886736734693878</v>
      </c>
      <c r="C36" s="26" t="n">
        <f aca="false">IF(ABS(Produtos!$P$23)&lt;0.01,"",Produtos!$O$23)</f>
        <v>0.899</v>
      </c>
    </row>
    <row r="37" customFormat="false" ht="15" hidden="false" customHeight="false" outlineLevel="0" collapsed="false">
      <c r="A37" s="15" t="str">
        <f aca="false">IF(ABS(Produtos!$P$24)&lt;0.01,"",Produtos!$B$24)</f>
        <v/>
      </c>
      <c r="B37" s="26" t="str">
        <f aca="false">IF(ABS(Produtos!$P$24)&lt;0.01,"",Produtos!$K$24)</f>
        <v/>
      </c>
      <c r="C37" s="26" t="str">
        <f aca="false">IF(ABS(Produtos!$P$24)&lt;0.01,"",Produtos!$O$24)</f>
        <v/>
      </c>
    </row>
    <row r="38" customFormat="false" ht="15" hidden="false" customHeight="false" outlineLevel="0" collapsed="false">
      <c r="A38" s="15" t="str">
        <f aca="false">IF(ABS(Produtos!$P$25)&lt;0.01,"",Produtos!$B$25)</f>
        <v>Escondidinho de Carne</v>
      </c>
      <c r="B38" s="26" t="n">
        <f aca="false">IF(ABS(Produtos!$P$25)&lt;0.01,"",Produtos!$K$25)</f>
        <v>12.2045078750497</v>
      </c>
      <c r="C38" s="26" t="n">
        <f aca="false">IF(ABS(Produtos!$P$25)&lt;0.01,"",Produtos!$O$25)</f>
        <v>12.4247</v>
      </c>
    </row>
    <row r="39" customFormat="false" ht="15" hidden="false" customHeight="false" outlineLevel="0" collapsed="false">
      <c r="A39" s="15" t="str">
        <f aca="false">IF(ABS(Produtos!$P$26)&lt;0.01,"",Produtos!$B$26)</f>
        <v>Escondidinho de Carne</v>
      </c>
      <c r="B39" s="26" t="n">
        <f aca="false">IF(ABS(Produtos!$P$26)&lt;0.01,"",Produtos!$K$26)</f>
        <v>8.43739461838417</v>
      </c>
      <c r="C39" s="26" t="n">
        <f aca="false">IF(ABS(Produtos!$P$26)&lt;0.01,"",Produtos!$O$26)</f>
        <v>8.3411</v>
      </c>
    </row>
    <row r="40" customFormat="false" ht="15" hidden="false" customHeight="false" outlineLevel="0" collapsed="false">
      <c r="A40" s="15" t="str">
        <f aca="false">IF(ABS(Produtos!$P$27)&lt;0.01,"",Produtos!$B$27)</f>
        <v/>
      </c>
      <c r="B40" s="26" t="str">
        <f aca="false">IF(ABS(Produtos!$P$27)&lt;0.01,"",Produtos!$K$27)</f>
        <v/>
      </c>
      <c r="C40" s="26" t="str">
        <f aca="false">IF(ABS(Produtos!$P$27)&lt;0.01,"",Produtos!$O$27)</f>
        <v/>
      </c>
    </row>
    <row r="41" customFormat="false" ht="15" hidden="false" customHeight="false" outlineLevel="0" collapsed="false">
      <c r="A41" s="15" t="str">
        <f aca="false">IF(ABS(Produtos!$P$28)&lt;0.01,"",Produtos!$B$28)</f>
        <v>Frango Desfiado</v>
      </c>
      <c r="B41" s="26" t="n">
        <f aca="false">IF(ABS(Produtos!$P$28)&lt;0.01,"",Produtos!$K$28)</f>
        <v>22.9029433703306</v>
      </c>
      <c r="C41" s="26" t="n">
        <f aca="false">IF(ABS(Produtos!$P$28)&lt;0.01,"",Produtos!$O$28)</f>
        <v>22.2528</v>
      </c>
    </row>
    <row r="42" customFormat="false" ht="15" hidden="false" customHeight="false" outlineLevel="0" collapsed="false">
      <c r="A42" s="15" t="str">
        <f aca="false">IF(ABS(Produtos!$P$29)&lt;0.01,"",Produtos!$B$29)</f>
        <v>Frango Desfiado com Molho de Tomate</v>
      </c>
      <c r="B42" s="26" t="n">
        <f aca="false">IF(ABS(Produtos!$P$29)&lt;0.01,"",Produtos!$K$29)</f>
        <v>54.7429725176035</v>
      </c>
      <c r="C42" s="26" t="n">
        <f aca="false">IF(ABS(Produtos!$P$29)&lt;0.01,"",Produtos!$O$29)</f>
        <v>53.353</v>
      </c>
    </row>
    <row r="43" customFormat="false" ht="15" hidden="false" customHeight="false" outlineLevel="0" collapsed="false">
      <c r="A43" s="15" t="str">
        <f aca="false">IF(ABS(Produtos!$P$30)&lt;0.01,"",Produtos!$B$30)</f>
        <v>Frango com Molho Chuchu e Molho Branco e Arroz com Sementes</v>
      </c>
      <c r="B43" s="26" t="n">
        <f aca="false">IF(ABS(Produtos!$P$30)&lt;0.01,"",Produtos!$K$30)</f>
        <v>4.54651193959413</v>
      </c>
      <c r="C43" s="26" t="n">
        <f aca="false">IF(ABS(Produtos!$P$30)&lt;0.01,"",Produtos!$O$30)</f>
        <v>4.5831</v>
      </c>
    </row>
    <row r="44" customFormat="false" ht="15" hidden="false" customHeight="false" outlineLevel="0" collapsed="false">
      <c r="A44" s="15" t="str">
        <f aca="false">IF(ABS(Produtos!$P$31)&lt;0.01,"",Produtos!$B$31)</f>
        <v/>
      </c>
      <c r="B44" s="26" t="str">
        <f aca="false">IF(ABS(Produtos!$P$31)&lt;0.01,"",Produtos!$K$31)</f>
        <v/>
      </c>
      <c r="C44" s="26" t="str">
        <f aca="false">IF(ABS(Produtos!$P$31)&lt;0.01,"",Produtos!$O$31)</f>
        <v/>
      </c>
    </row>
    <row r="45" customFormat="false" ht="15" hidden="false" customHeight="false" outlineLevel="0" collapsed="false">
      <c r="A45" s="15" t="str">
        <f aca="false">IF(ABS(Produtos!$P$32)&lt;0.01,"",Produtos!$B$32)</f>
        <v/>
      </c>
      <c r="B45" s="26" t="str">
        <f aca="false">IF(ABS(Produtos!$P$32)&lt;0.01,"",Produtos!$K$32)</f>
        <v/>
      </c>
      <c r="C45" s="26" t="str">
        <f aca="false">IF(ABS(Produtos!$P$32)&lt;0.01,"",Produtos!$O$32)</f>
        <v/>
      </c>
    </row>
    <row r="46" customFormat="false" ht="15" hidden="false" customHeight="false" outlineLevel="0" collapsed="false">
      <c r="A46" s="15" t="str">
        <f aca="false">IF(ABS(Produtos!$P$33)&lt;0.01,"",Produtos!$B$33)</f>
        <v/>
      </c>
      <c r="B46" s="26" t="str">
        <f aca="false">IF(ABS(Produtos!$P$33)&lt;0.01,"",Produtos!$K$33)</f>
        <v/>
      </c>
      <c r="C46" s="26" t="str">
        <f aca="false">IF(ABS(Produtos!$P$33)&lt;0.01,"",Produtos!$O$33)</f>
        <v/>
      </c>
    </row>
    <row r="47" customFormat="false" ht="15" hidden="false" customHeight="false" outlineLevel="0" collapsed="false">
      <c r="A47" s="15" t="str">
        <f aca="false">IF(ABS(Produtos!$P$34)&lt;0.01,"",Produtos!$B$34)</f>
        <v/>
      </c>
      <c r="B47" s="26" t="str">
        <f aca="false">IF(ABS(Produtos!$P$34)&lt;0.01,"",Produtos!$K$34)</f>
        <v/>
      </c>
      <c r="C47" s="26" t="str">
        <f aca="false">IF(ABS(Produtos!$P$34)&lt;0.01,"",Produtos!$O$34)</f>
        <v/>
      </c>
    </row>
    <row r="48" customFormat="false" ht="15" hidden="false" customHeight="false" outlineLevel="0" collapsed="false">
      <c r="A48" s="15" t="str">
        <f aca="false">IF(ABS(Produtos!$P$35)&lt;0.01,"",Produtos!$B$35)</f>
        <v/>
      </c>
      <c r="B48" s="26" t="str">
        <f aca="false">IF(ABS(Produtos!$P$35)&lt;0.01,"",Produtos!$K$35)</f>
        <v/>
      </c>
      <c r="C48" s="26" t="str">
        <f aca="false">IF(ABS(Produtos!$P$35)&lt;0.01,"",Produtos!$O$35)</f>
        <v/>
      </c>
    </row>
    <row r="49" customFormat="false" ht="15" hidden="false" customHeight="false" outlineLevel="0" collapsed="false">
      <c r="A49" s="15" t="str">
        <f aca="false">IF(ABS(Produtos!$P$36)&lt;0.01,"",Produtos!$B$36)</f>
        <v/>
      </c>
      <c r="B49" s="26" t="str">
        <f aca="false">IF(ABS(Produtos!$P$36)&lt;0.01,"",Produtos!$K$36)</f>
        <v/>
      </c>
      <c r="C49" s="26" t="str">
        <f aca="false">IF(ABS(Produtos!$P$36)&lt;0.01,"",Produtos!$O$36)</f>
        <v/>
      </c>
    </row>
    <row r="50" customFormat="false" ht="15" hidden="false" customHeight="false" outlineLevel="0" collapsed="false">
      <c r="A50" s="15" t="str">
        <f aca="false">IF(ABS(Produtos!$P$37)&lt;0.01,"",Produtos!$B$37)</f>
        <v/>
      </c>
      <c r="B50" s="26" t="str">
        <f aca="false">IF(ABS(Produtos!$P$37)&lt;0.01,"",Produtos!$K$37)</f>
        <v/>
      </c>
      <c r="C50" s="26" t="str">
        <f aca="false">IF(ABS(Produtos!$P$37)&lt;0.01,"",Produtos!$O$37)</f>
        <v/>
      </c>
    </row>
    <row r="51" customFormat="false" ht="15" hidden="false" customHeight="false" outlineLevel="0" collapsed="false">
      <c r="A51" s="15" t="str">
        <f aca="false">IF(ABS(Produtos!$P$38)&lt;0.01,"",Produtos!$B$38)</f>
        <v/>
      </c>
      <c r="B51" s="26" t="str">
        <f aca="false">IF(ABS(Produtos!$P$38)&lt;0.01,"",Produtos!$K$38)</f>
        <v/>
      </c>
      <c r="C51" s="26" t="str">
        <f aca="false">IF(ABS(Produtos!$P$38)&lt;0.01,"",Produtos!$O$38)</f>
        <v/>
      </c>
    </row>
    <row r="52" customFormat="false" ht="15" hidden="false" customHeight="false" outlineLevel="0" collapsed="false">
      <c r="A52" s="15" t="str">
        <f aca="false">IF(ABS(Produtos!$P$39)&lt;0.01,"",Produtos!$B$39)</f>
        <v/>
      </c>
      <c r="B52" s="26" t="str">
        <f aca="false">IF(ABS(Produtos!$P$39)&lt;0.01,"",Produtos!$K$39)</f>
        <v/>
      </c>
      <c r="C52" s="26" t="str">
        <f aca="false">IF(ABS(Produtos!$P$39)&lt;0.01,"",Produtos!$O$39)</f>
        <v/>
      </c>
    </row>
    <row r="53" customFormat="false" ht="15" hidden="false" customHeight="false" outlineLevel="0" collapsed="false">
      <c r="A53" s="15" t="str">
        <f aca="false">IF(ABS(Produtos!$P$40)&lt;0.01,"",Produtos!$B$40)</f>
        <v/>
      </c>
      <c r="B53" s="26" t="str">
        <f aca="false">IF(ABS(Produtos!$P$40)&lt;0.01,"",Produtos!$K$40)</f>
        <v/>
      </c>
      <c r="C53" s="26" t="str">
        <f aca="false">IF(ABS(Produtos!$P$40)&lt;0.01,"",Produtos!$O$40)</f>
        <v/>
      </c>
    </row>
    <row r="54" customFormat="false" ht="15" hidden="false" customHeight="false" outlineLevel="0" collapsed="false">
      <c r="A54" s="15" t="str">
        <f aca="false">IF(ABS(Produtos!$P$41)&lt;0.01,"",Produtos!$B$41)</f>
        <v/>
      </c>
      <c r="B54" s="26" t="str">
        <f aca="false">IF(ABS(Produtos!$P$41)&lt;0.01,"",Produtos!$K$41)</f>
        <v/>
      </c>
      <c r="C54" s="26" t="str">
        <f aca="false">IF(ABS(Produtos!$P$41)&lt;0.01,"",Produtos!$O$41)</f>
        <v/>
      </c>
    </row>
    <row r="55" customFormat="false" ht="15" hidden="false" customHeight="false" outlineLevel="0" collapsed="false">
      <c r="A55" s="15" t="str">
        <f aca="false">IF(ABS(Produtos!$P$42)&lt;0.01,"",Produtos!$B$42)</f>
        <v>Massa Low Carb para Quiche</v>
      </c>
      <c r="B55" s="26" t="n">
        <f aca="false">IF(ABS(Produtos!$P$42)&lt;0.01,"",Produtos!$K$42)</f>
        <v>27.7777372740104</v>
      </c>
      <c r="C55" s="26" t="n">
        <f aca="false">IF(ABS(Produtos!$P$42)&lt;0.01,"",Produtos!$O$42)</f>
        <v>20.4426</v>
      </c>
    </row>
    <row r="56" customFormat="false" ht="15" hidden="false" customHeight="false" outlineLevel="0" collapsed="false">
      <c r="A56" s="15" t="str">
        <f aca="false">IF(ABS(Produtos!$P$43)&lt;0.01,"",Produtos!$B$43)</f>
        <v>Massa de Esfira</v>
      </c>
      <c r="B56" s="26" t="n">
        <f aca="false">IF(ABS(Produtos!$P$43)&lt;0.01,"",Produtos!$K$43)</f>
        <v>18.3144113856069</v>
      </c>
      <c r="C56" s="26" t="n">
        <f aca="false">IF(ABS(Produtos!$P$43)&lt;0.01,"",Produtos!$O$43)</f>
        <v>18.3297</v>
      </c>
    </row>
    <row r="57" customFormat="false" ht="15" hidden="false" customHeight="false" outlineLevel="0" collapsed="false">
      <c r="A57" s="15" t="str">
        <f aca="false">IF(ABS(Produtos!$P$44)&lt;0.01,"",Produtos!$B$44)</f>
        <v/>
      </c>
      <c r="B57" s="26" t="str">
        <f aca="false">IF(ABS(Produtos!$P$44)&lt;0.01,"",Produtos!$K$44)</f>
        <v/>
      </c>
      <c r="C57" s="26" t="str">
        <f aca="false">IF(ABS(Produtos!$P$44)&lt;0.01,"",Produtos!$O$44)</f>
        <v/>
      </c>
    </row>
    <row r="58" customFormat="false" ht="15" hidden="false" customHeight="false" outlineLevel="0" collapsed="false">
      <c r="A58" s="15" t="str">
        <f aca="false">IF(ABS(Produtos!$P$45)&lt;0.01,"",Produtos!$B$45)</f>
        <v/>
      </c>
      <c r="B58" s="26" t="str">
        <f aca="false">IF(ABS(Produtos!$P$45)&lt;0.01,"",Produtos!$K$45)</f>
        <v/>
      </c>
      <c r="C58" s="26" t="str">
        <f aca="false">IF(ABS(Produtos!$P$45)&lt;0.01,"",Produtos!$O$45)</f>
        <v/>
      </c>
    </row>
    <row r="59" customFormat="false" ht="15" hidden="false" customHeight="false" outlineLevel="0" collapsed="false">
      <c r="A59" s="15" t="str">
        <f aca="false">IF(ABS(Produtos!$P$46)&lt;0.01,"",Produtos!$B$46)</f>
        <v/>
      </c>
      <c r="B59" s="26" t="str">
        <f aca="false">IF(ABS(Produtos!$P$46)&lt;0.01,"",Produtos!$K$46)</f>
        <v/>
      </c>
      <c r="C59" s="26" t="str">
        <f aca="false">IF(ABS(Produtos!$P$46)&lt;0.01,"",Produtos!$O$46)</f>
        <v/>
      </c>
    </row>
    <row r="60" customFormat="false" ht="15" hidden="false" customHeight="false" outlineLevel="0" collapsed="false">
      <c r="A60" s="15" t="str">
        <f aca="false">IF(ABS(Produtos!$P$47)&lt;0.01,"",Produtos!$B$47)</f>
        <v/>
      </c>
      <c r="B60" s="26" t="str">
        <f aca="false">IF(ABS(Produtos!$P$47)&lt;0.01,"",Produtos!$K$47)</f>
        <v/>
      </c>
      <c r="C60" s="26" t="str">
        <f aca="false">IF(ABS(Produtos!$P$47)&lt;0.01,"",Produtos!$O$47)</f>
        <v/>
      </c>
    </row>
    <row r="61" customFormat="false" ht="15" hidden="false" customHeight="false" outlineLevel="0" collapsed="false">
      <c r="A61" s="15" t="str">
        <f aca="false">IF(ABS(Produtos!$P$48)&lt;0.01,"",Produtos!$B$48)</f>
        <v/>
      </c>
      <c r="B61" s="26" t="str">
        <f aca="false">IF(ABS(Produtos!$P$48)&lt;0.01,"",Produtos!$K$48)</f>
        <v/>
      </c>
      <c r="C61" s="26" t="str">
        <f aca="false">IF(ABS(Produtos!$P$48)&lt;0.01,"",Produtos!$O$48)</f>
        <v/>
      </c>
    </row>
    <row r="62" customFormat="false" ht="15" hidden="false" customHeight="false" outlineLevel="0" collapsed="false">
      <c r="A62" s="15" t="str">
        <f aca="false">IF(ABS(Produtos!$P$49)&lt;0.01,"",Produtos!$B$49)</f>
        <v/>
      </c>
      <c r="B62" s="26" t="str">
        <f aca="false">IF(ABS(Produtos!$P$49)&lt;0.01,"",Produtos!$K$49)</f>
        <v/>
      </c>
      <c r="C62" s="26" t="str">
        <f aca="false">IF(ABS(Produtos!$P$49)&lt;0.01,"",Produtos!$O$49)</f>
        <v/>
      </c>
    </row>
    <row r="63" customFormat="false" ht="15" hidden="false" customHeight="false" outlineLevel="0" collapsed="false">
      <c r="A63" s="15" t="str">
        <f aca="false">IF(ABS(Produtos!$P$50)&lt;0.01,"",Produtos!$B$50)</f>
        <v/>
      </c>
      <c r="B63" s="26" t="str">
        <f aca="false">IF(ABS(Produtos!$P$50)&lt;0.01,"",Produtos!$K$50)</f>
        <v/>
      </c>
      <c r="C63" s="26" t="str">
        <f aca="false">IF(ABS(Produtos!$P$50)&lt;0.01,"",Produtos!$O$50)</f>
        <v/>
      </c>
    </row>
    <row r="64" customFormat="false" ht="15" hidden="false" customHeight="false" outlineLevel="0" collapsed="false">
      <c r="A64" s="15" t="str">
        <f aca="false">IF(ABS(Produtos!$P$51)&lt;0.01,"",Produtos!$B$51)</f>
        <v/>
      </c>
      <c r="B64" s="26" t="str">
        <f aca="false">IF(ABS(Produtos!$P$51)&lt;0.01,"",Produtos!$K$51)</f>
        <v/>
      </c>
      <c r="C64" s="26" t="str">
        <f aca="false">IF(ABS(Produtos!$P$51)&lt;0.01,"",Produtos!$O$51)</f>
        <v/>
      </c>
    </row>
    <row r="65" customFormat="false" ht="15" hidden="false" customHeight="false" outlineLevel="0" collapsed="false">
      <c r="A65" s="15" t="str">
        <f aca="false">IF(ABS(Produtos!$P$52)&lt;0.01,"",Produtos!$B$52)</f>
        <v>Pastelzinho de Festa</v>
      </c>
      <c r="B65" s="26" t="n">
        <f aca="false">IF(ABS(Produtos!$P$52)&lt;0.01,"",Produtos!$K$52)</f>
        <v>0.899380219601832</v>
      </c>
      <c r="C65" s="26" t="n">
        <f aca="false">IF(ABS(Produtos!$P$52)&lt;0.01,"",Produtos!$O$52)</f>
        <v>0.9141</v>
      </c>
    </row>
    <row r="66" customFormat="false" ht="15" hidden="false" customHeight="false" outlineLevel="0" collapsed="false">
      <c r="A66" s="15" t="str">
        <f aca="false">IF(ABS(Produtos!$P$53)&lt;0.01,"",Produtos!$B$53)</f>
        <v/>
      </c>
      <c r="B66" s="26" t="str">
        <f aca="false">IF(ABS(Produtos!$P$53)&lt;0.01,"",Produtos!$K$53)</f>
        <v/>
      </c>
      <c r="C66" s="26" t="str">
        <f aca="false">IF(ABS(Produtos!$P$53)&lt;0.01,"",Produtos!$O$53)</f>
        <v/>
      </c>
    </row>
    <row r="67" customFormat="false" ht="15" hidden="false" customHeight="false" outlineLevel="0" collapsed="false">
      <c r="A67" s="15" t="str">
        <f aca="false">IF(ABS(Produtos!$P$54)&lt;0.01,"",Produtos!$B$54)</f>
        <v>Purê de Batatas</v>
      </c>
      <c r="B67" s="26" t="n">
        <f aca="false">IF(ABS(Produtos!$P$54)&lt;0.01,"",Produtos!$K$54)</f>
        <v>12.142727971034</v>
      </c>
      <c r="C67" s="26" t="n">
        <f aca="false">IF(ABS(Produtos!$P$54)&lt;0.01,"",Produtos!$O$54)</f>
        <v>12.199</v>
      </c>
    </row>
    <row r="68" customFormat="false" ht="15" hidden="false" customHeight="false" outlineLevel="0" collapsed="false">
      <c r="A68" s="15" t="str">
        <f aca="false">IF(ABS(Produtos!$P$55)&lt;0.01,"",Produtos!$B$55)</f>
        <v/>
      </c>
      <c r="B68" s="26" t="str">
        <f aca="false">IF(ABS(Produtos!$P$55)&lt;0.01,"",Produtos!$K$55)</f>
        <v/>
      </c>
      <c r="C68" s="26" t="str">
        <f aca="false">IF(ABS(Produtos!$P$55)&lt;0.01,"",Produtos!$O$55)</f>
        <v/>
      </c>
    </row>
    <row r="69" customFormat="false" ht="15" hidden="false" customHeight="false" outlineLevel="0" collapsed="false">
      <c r="A69" s="15" t="str">
        <f aca="false">IF(ABS(Produtos!$P$56)&lt;0.01,"",Produtos!$B$56)</f>
        <v/>
      </c>
      <c r="B69" s="26" t="str">
        <f aca="false">IF(ABS(Produtos!$P$56)&lt;0.01,"",Produtos!$K$56)</f>
        <v/>
      </c>
      <c r="C69" s="26" t="str">
        <f aca="false">IF(ABS(Produtos!$P$56)&lt;0.01,"",Produtos!$O$56)</f>
        <v/>
      </c>
    </row>
    <row r="70" customFormat="false" ht="15" hidden="false" customHeight="false" outlineLevel="0" collapsed="false">
      <c r="A70" s="15" t="str">
        <f aca="false">IF(ABS(Produtos!$P$57)&lt;0.01,"",Produtos!$B$57)</f>
        <v/>
      </c>
      <c r="B70" s="26" t="str">
        <f aca="false">IF(ABS(Produtos!$P$57)&lt;0.01,"",Produtos!$K$57)</f>
        <v/>
      </c>
      <c r="C70" s="26" t="str">
        <f aca="false">IF(ABS(Produtos!$P$57)&lt;0.01,"",Produtos!$O$57)</f>
        <v/>
      </c>
    </row>
    <row r="71" customFormat="false" ht="15" hidden="false" customHeight="false" outlineLevel="0" collapsed="false">
      <c r="A71" s="15" t="str">
        <f aca="false">IF(ABS(Produtos!$P$58)&lt;0.01,"",Produtos!$B$58)</f>
        <v/>
      </c>
      <c r="B71" s="26" t="str">
        <f aca="false">IF(ABS(Produtos!$P$58)&lt;0.01,"",Produtos!$K$58)</f>
        <v/>
      </c>
      <c r="C71" s="26" t="str">
        <f aca="false">IF(ABS(Produtos!$P$58)&lt;0.01,"",Produtos!$O$58)</f>
        <v/>
      </c>
    </row>
    <row r="72" customFormat="false" ht="15" hidden="false" customHeight="false" outlineLevel="0" collapsed="false">
      <c r="A72" s="15" t="str">
        <f aca="false">IF(ABS(Produtos!$P$59)&lt;0.01,"",Produtos!$B$59)</f>
        <v/>
      </c>
      <c r="B72" s="26" t="str">
        <f aca="false">IF(ABS(Produtos!$P$59)&lt;0.01,"",Produtos!$K$59)</f>
        <v/>
      </c>
      <c r="C72" s="26" t="str">
        <f aca="false">IF(ABS(Produtos!$P$59)&lt;0.01,"",Produtos!$O$59)</f>
        <v/>
      </c>
    </row>
    <row r="73" customFormat="false" ht="15" hidden="false" customHeight="false" outlineLevel="0" collapsed="false">
      <c r="A73" s="15" t="str">
        <f aca="false">IF(ABS(Produtos!$P$60)&lt;0.01,"",Produtos!$B$60)</f>
        <v/>
      </c>
      <c r="B73" s="26" t="str">
        <f aca="false">IF(ABS(Produtos!$P$60)&lt;0.01,"",Produtos!$K$60)</f>
        <v/>
      </c>
      <c r="C73" s="26" t="str">
        <f aca="false">IF(ABS(Produtos!$P$60)&lt;0.01,"",Produtos!$O$60)</f>
        <v/>
      </c>
    </row>
    <row r="74" customFormat="false" ht="15" hidden="false" customHeight="false" outlineLevel="0" collapsed="false">
      <c r="A74" s="15" t="str">
        <f aca="false">IF(ABS(Produtos!$P$61)&lt;0.01,"",Produtos!$B$61)</f>
        <v/>
      </c>
      <c r="B74" s="26" t="str">
        <f aca="false">IF(ABS(Produtos!$P$61)&lt;0.01,"",Produtos!$K$61)</f>
        <v/>
      </c>
      <c r="C74" s="26" t="str">
        <f aca="false">IF(ABS(Produtos!$P$61)&lt;0.01,"",Produtos!$O$61)</f>
        <v/>
      </c>
    </row>
    <row r="75" customFormat="false" ht="15" hidden="false" customHeight="false" outlineLevel="0" collapsed="false">
      <c r="A75" s="15" t="str">
        <f aca="false">IF(ABS(Produtos!$P$62)&lt;0.01,"",Produtos!$B$62)</f>
        <v/>
      </c>
      <c r="B75" s="26" t="str">
        <f aca="false">IF(ABS(Produtos!$P$62)&lt;0.01,"",Produtos!$K$62)</f>
        <v/>
      </c>
      <c r="C75" s="26" t="str">
        <f aca="false">IF(ABS(Produtos!$P$62)&lt;0.01,"",Produtos!$O$62)</f>
        <v/>
      </c>
    </row>
    <row r="76" customFormat="false" ht="15" hidden="false" customHeight="false" outlineLevel="0" collapsed="false">
      <c r="A76" s="15" t="str">
        <f aca="false">IF(ABS(Produtos!$P$63)&lt;0.01,"",Produtos!$B$63)</f>
        <v>Pão de Sementes</v>
      </c>
      <c r="B76" s="26" t="n">
        <f aca="false">IF(ABS(Produtos!$P$63)&lt;0.01,"",Produtos!$K$63)</f>
        <v>2.71307062298604</v>
      </c>
      <c r="C76" s="26" t="n">
        <f aca="false">IF(ABS(Produtos!$P$63)&lt;0.01,"",Produtos!$O$63)</f>
        <v>2.6939</v>
      </c>
    </row>
    <row r="77" customFormat="false" ht="15" hidden="false" customHeight="false" outlineLevel="0" collapsed="false">
      <c r="A77" s="15" t="str">
        <f aca="false">IF(ABS(Produtos!$P$64)&lt;0.01,"",Produtos!$B$64)</f>
        <v/>
      </c>
      <c r="B77" s="26" t="str">
        <f aca="false">IF(ABS(Produtos!$P$64)&lt;0.01,"",Produtos!$K$64)</f>
        <v/>
      </c>
      <c r="C77" s="26" t="str">
        <f aca="false">IF(ABS(Produtos!$P$64)&lt;0.01,"",Produtos!$O$64)</f>
        <v/>
      </c>
    </row>
    <row r="78" customFormat="false" ht="15" hidden="false" customHeight="false" outlineLevel="0" collapsed="false">
      <c r="A78" s="15" t="str">
        <f aca="false">IF(ABS(Produtos!$P$65)&lt;0.01,"",Produtos!$B$65)</f>
        <v>Quiche Ricota, Ora-pro-nóbis e Alho-poró</v>
      </c>
      <c r="B78" s="26" t="n">
        <f aca="false">IF(ABS(Produtos!$P$65)&lt;0.01,"",Produtos!$K$65)</f>
        <v>4.73888951396348</v>
      </c>
      <c r="C78" s="26" t="n">
        <f aca="false">IF(ABS(Produtos!$P$65)&lt;0.01,"",Produtos!$O$65)</f>
        <v>3.8608</v>
      </c>
    </row>
    <row r="79" customFormat="false" ht="15" hidden="false" customHeight="false" outlineLevel="0" collapsed="false">
      <c r="A79" s="15" t="str">
        <f aca="false">IF(ABS(Produtos!$P$66)&lt;0.01,"",Produtos!$B$66)</f>
        <v>Quiche Ricota, Ora-pro-nóbis e Alho-poró</v>
      </c>
      <c r="B79" s="26" t="n">
        <f aca="false">IF(ABS(Produtos!$P$66)&lt;0.01,"",Produtos!$K$66)</f>
        <v>3.81414227712138</v>
      </c>
      <c r="C79" s="26" t="n">
        <f aca="false">IF(ABS(Produtos!$P$66)&lt;0.01,"",Produtos!$O$66)</f>
        <v>2.4091</v>
      </c>
    </row>
    <row r="80" customFormat="false" ht="15" hidden="false" customHeight="false" outlineLevel="0" collapsed="false">
      <c r="A80" s="15" t="str">
        <f aca="false">IF(ABS(Produtos!$P$67)&lt;0.01,"",Produtos!$B$67)</f>
        <v>Quiche Ricota, Ora-pro-nóbis e Alho-poró</v>
      </c>
      <c r="B80" s="26" t="n">
        <f aca="false">IF(ABS(Produtos!$P$67)&lt;0.01,"",Produtos!$K$67)</f>
        <v>3.33837248509204</v>
      </c>
      <c r="C80" s="26" t="n">
        <f aca="false">IF(ABS(Produtos!$P$67)&lt;0.01,"",Produtos!$O$67)</f>
        <v>2.2846</v>
      </c>
    </row>
    <row r="81" customFormat="false" ht="15" hidden="false" customHeight="false" outlineLevel="0" collapsed="false">
      <c r="A81" s="15" t="str">
        <f aca="false">IF(ABS(Produtos!$P$68)&lt;0.01,"",Produtos!$B$68)</f>
        <v>Quiche Ricota, Ora-pro-nóbis e Espinafre</v>
      </c>
      <c r="B81" s="26" t="n">
        <f aca="false">IF(ABS(Produtos!$P$68)&lt;0.01,"",Produtos!$K$68)</f>
        <v>1.81051029001074</v>
      </c>
      <c r="C81" s="26" t="n">
        <f aca="false">IF(ABS(Produtos!$P$68)&lt;0.01,"",Produtos!$O$68)</f>
        <v>1.108</v>
      </c>
    </row>
    <row r="82" customFormat="false" ht="15" hidden="false" customHeight="false" outlineLevel="0" collapsed="false">
      <c r="A82" s="15" t="str">
        <f aca="false">IF(ABS(Produtos!$P$69)&lt;0.01,"",Produtos!$B$69)</f>
        <v/>
      </c>
      <c r="B82" s="26" t="str">
        <f aca="false">IF(ABS(Produtos!$P$69)&lt;0.01,"",Produtos!$K$69)</f>
        <v/>
      </c>
      <c r="C82" s="26" t="str">
        <f aca="false">IF(ABS(Produtos!$P$69)&lt;0.01,"",Produtos!$O$69)</f>
        <v/>
      </c>
    </row>
    <row r="83" customFormat="false" ht="15" hidden="false" customHeight="false" outlineLevel="0" collapsed="false">
      <c r="A83" s="15" t="str">
        <f aca="false">IF(ABS(Produtos!$P$70)&lt;0.01,"",Produtos!$B$70)</f>
        <v/>
      </c>
      <c r="B83" s="26" t="str">
        <f aca="false">IF(ABS(Produtos!$P$70)&lt;0.01,"",Produtos!$K$70)</f>
        <v/>
      </c>
      <c r="C83" s="26" t="str">
        <f aca="false">IF(ABS(Produtos!$P$70)&lt;0.01,"",Produtos!$O$70)</f>
        <v/>
      </c>
    </row>
    <row r="84" customFormat="false" ht="15" hidden="false" customHeight="false" outlineLevel="0" collapsed="false">
      <c r="A84" s="15" t="str">
        <f aca="false">IF(ABS(Produtos!$P$71)&lt;0.01,"",Produtos!$B$71)</f>
        <v/>
      </c>
      <c r="B84" s="26" t="str">
        <f aca="false">IF(ABS(Produtos!$P$71)&lt;0.01,"",Produtos!$K$71)</f>
        <v/>
      </c>
      <c r="C84" s="26" t="str">
        <f aca="false">IF(ABS(Produtos!$P$71)&lt;0.01,"",Produtos!$O$71)</f>
        <v/>
      </c>
    </row>
    <row r="85" customFormat="false" ht="15" hidden="false" customHeight="false" outlineLevel="0" collapsed="false">
      <c r="A85" s="15" t="str">
        <f aca="false">IF(ABS(Produtos!$P$72)&lt;0.01,"",Produtos!$B$72)</f>
        <v>Sanduba Veg</v>
      </c>
      <c r="B85" s="26" t="n">
        <f aca="false">IF(ABS(Produtos!$P$72)&lt;0.01,"",Produtos!$K$72)</f>
        <v>1.7344442601163</v>
      </c>
      <c r="C85" s="26" t="n">
        <f aca="false">IF(ABS(Produtos!$P$72)&lt;0.01,"",Produtos!$O$72)</f>
        <v>0.7863</v>
      </c>
    </row>
    <row r="86" customFormat="false" ht="15" hidden="false" customHeight="false" outlineLevel="0" collapsed="false">
      <c r="A86" s="15" t="str">
        <f aca="false">IF(ABS(Produtos!$P$73)&lt;0.01,"",Produtos!$B$73)</f>
        <v/>
      </c>
      <c r="B86" s="26" t="str">
        <f aca="false">IF(ABS(Produtos!$P$73)&lt;0.01,"",Produtos!$K$73)</f>
        <v/>
      </c>
      <c r="C86" s="26" t="str">
        <f aca="false">IF(ABS(Produtos!$P$73)&lt;0.01,"",Produtos!$O$73)</f>
        <v/>
      </c>
    </row>
    <row r="87" customFormat="false" ht="15" hidden="false" customHeight="false" outlineLevel="0" collapsed="false">
      <c r="A87" s="15" t="str">
        <f aca="false">IF(ABS(Produtos!$P$74)&lt;0.01,"",Produtos!$B$74)</f>
        <v/>
      </c>
      <c r="B87" s="26" t="str">
        <f aca="false">IF(ABS(Produtos!$P$74)&lt;0.01,"",Produtos!$K$74)</f>
        <v/>
      </c>
      <c r="C87" s="26" t="str">
        <f aca="false">IF(ABS(Produtos!$P$74)&lt;0.01,"",Produtos!$O$74)</f>
        <v/>
      </c>
    </row>
    <row r="88" customFormat="false" ht="15" hidden="false" customHeight="false" outlineLevel="0" collapsed="false">
      <c r="A88" s="15" t="str">
        <f aca="false">IF(ABS(Produtos!$P$75)&lt;0.01,"",Produtos!$B$75)</f>
        <v/>
      </c>
      <c r="B88" s="26" t="str">
        <f aca="false">IF(ABS(Produtos!$P$75)&lt;0.01,"",Produtos!$K$75)</f>
        <v/>
      </c>
      <c r="C88" s="26" t="str">
        <f aca="false">IF(ABS(Produtos!$P$75)&lt;0.01,"",Produtos!$O$75)</f>
        <v/>
      </c>
    </row>
    <row r="89" customFormat="false" ht="15" hidden="false" customHeight="false" outlineLevel="0" collapsed="false">
      <c r="A89" s="15" t="str">
        <f aca="false">IF(ABS(Produtos!$P$76)&lt;0.01,"",Produtos!$B$76)</f>
        <v>Torta de Frango sem Ovos</v>
      </c>
      <c r="B89" s="26" t="n">
        <f aca="false">IF(ABS(Produtos!$P$76)&lt;0.01,"",Produtos!$K$76)</f>
        <v>1.20712574662211</v>
      </c>
      <c r="C89" s="26" t="n">
        <f aca="false">IF(ABS(Produtos!$P$76)&lt;0.01,"",Produtos!$O$76)</f>
        <v>1.1916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8"/>
  </cols>
  <sheetData>
    <row r="1" customFormat="false" ht="21.75" hidden="false" customHeight="true" outlineLevel="0" collapsed="false">
      <c r="A1" s="5" t="s">
        <v>588</v>
      </c>
    </row>
    <row r="2" customFormat="false" ht="15" hidden="false" customHeight="false" outlineLevel="0" collapsed="false">
      <c r="A2" s="6" t="s">
        <v>589</v>
      </c>
    </row>
    <row r="3" customFormat="false" ht="30" hidden="false" customHeight="true" outlineLevel="0" collapsed="false">
      <c r="A3" s="7" t="s">
        <v>590</v>
      </c>
      <c r="B3" s="7" t="s">
        <v>591</v>
      </c>
    </row>
    <row r="4" customFormat="false" ht="13.5" hidden="false" customHeight="true" outlineLevel="0" collapsed="false">
      <c r="A4" s="36" t="n">
        <v>1</v>
      </c>
      <c r="B4" s="37" t="s">
        <v>592</v>
      </c>
    </row>
    <row r="5" customFormat="false" ht="13.5" hidden="false" customHeight="true" outlineLevel="0" collapsed="false">
      <c r="A5" s="36" t="n">
        <v>2</v>
      </c>
      <c r="B5" s="37" t="s">
        <v>593</v>
      </c>
    </row>
    <row r="6" customFormat="false" ht="27.75" hidden="false" customHeight="true" outlineLevel="0" collapsed="false">
      <c r="A6" s="36" t="n">
        <v>3</v>
      </c>
      <c r="B6" s="37" t="s">
        <v>594</v>
      </c>
    </row>
    <row r="7" customFormat="false" ht="13.5" hidden="false" customHeight="true" outlineLevel="0" collapsed="false">
      <c r="A7" s="36" t="n">
        <v>4</v>
      </c>
      <c r="B7" s="37" t="s">
        <v>595</v>
      </c>
    </row>
    <row r="8" customFormat="false" ht="27.75" hidden="false" customHeight="true" outlineLevel="0" collapsed="false">
      <c r="A8" s="36" t="n">
        <v>5</v>
      </c>
      <c r="B8" s="37" t="s">
        <v>596</v>
      </c>
    </row>
    <row r="9" customFormat="false" ht="27.75" hidden="false" customHeight="true" outlineLevel="0" collapsed="false">
      <c r="A9" s="36" t="n">
        <v>6</v>
      </c>
      <c r="B9" s="37" t="s">
        <v>597</v>
      </c>
    </row>
    <row r="10" customFormat="false" ht="27.75" hidden="false" customHeight="true" outlineLevel="0" collapsed="false">
      <c r="A10" s="36" t="n">
        <v>7</v>
      </c>
      <c r="B10" s="37" t="s">
        <v>598</v>
      </c>
    </row>
    <row r="11" customFormat="false" ht="27.75" hidden="false" customHeight="true" outlineLevel="0" collapsed="false">
      <c r="A11" s="36" t="n">
        <v>8</v>
      </c>
      <c r="B11" s="37" t="s">
        <v>599</v>
      </c>
    </row>
    <row r="12" customFormat="false" ht="27.75" hidden="false" customHeight="true" outlineLevel="0" collapsed="false">
      <c r="A12" s="36" t="n">
        <v>9</v>
      </c>
      <c r="B12" s="37" t="s">
        <v>600</v>
      </c>
    </row>
    <row r="13" customFormat="false" ht="27.75" hidden="false" customHeight="true" outlineLevel="0" collapsed="false">
      <c r="A13" s="36" t="n">
        <v>10</v>
      </c>
      <c r="B13" s="37" t="s">
        <v>601</v>
      </c>
    </row>
    <row r="14" customFormat="false" ht="27.75" hidden="false" customHeight="true" outlineLevel="0" collapsed="false">
      <c r="A14" s="36" t="n">
        <v>11</v>
      </c>
      <c r="B14" s="37" t="s">
        <v>602</v>
      </c>
    </row>
    <row r="15" customFormat="false" ht="27.75" hidden="false" customHeight="true" outlineLevel="0" collapsed="false">
      <c r="A15" s="36" t="n">
        <v>12</v>
      </c>
      <c r="B15" s="37" t="s">
        <v>603</v>
      </c>
    </row>
    <row r="16" customFormat="false" ht="27.75" hidden="false" customHeight="true" outlineLevel="0" collapsed="false">
      <c r="A16" s="36" t="n">
        <v>13</v>
      </c>
      <c r="B16" s="37" t="s">
        <v>604</v>
      </c>
    </row>
    <row r="17" customFormat="false" ht="27.75" hidden="false" customHeight="true" outlineLevel="0" collapsed="false">
      <c r="A17" s="36" t="n">
        <v>14</v>
      </c>
      <c r="B17" s="37" t="s">
        <v>605</v>
      </c>
    </row>
    <row r="18" customFormat="false" ht="27.75" hidden="false" customHeight="true" outlineLevel="0" collapsed="false">
      <c r="A18" s="36" t="n">
        <v>15</v>
      </c>
      <c r="B18" s="37" t="s">
        <v>606</v>
      </c>
    </row>
    <row r="19" customFormat="false" ht="27.75" hidden="false" customHeight="true" outlineLevel="0" collapsed="false">
      <c r="A19" s="36" t="n">
        <v>16</v>
      </c>
      <c r="B19" s="37" t="s">
        <v>607</v>
      </c>
    </row>
    <row r="20" customFormat="false" ht="27.75" hidden="false" customHeight="true" outlineLevel="0" collapsed="false">
      <c r="A20" s="36" t="n">
        <v>17</v>
      </c>
      <c r="B20" s="37" t="s">
        <v>608</v>
      </c>
    </row>
    <row r="21" customFormat="false" ht="27.75" hidden="false" customHeight="true" outlineLevel="0" collapsed="false">
      <c r="A21" s="36" t="n">
        <v>18</v>
      </c>
      <c r="B21" s="37" t="s">
        <v>609</v>
      </c>
    </row>
    <row r="22" customFormat="false" ht="27.75" hidden="false" customHeight="true" outlineLevel="0" collapsed="false">
      <c r="A22" s="36" t="n">
        <v>19</v>
      </c>
      <c r="B22" s="37" t="s">
        <v>610</v>
      </c>
    </row>
    <row r="23" customFormat="false" ht="13.5" hidden="false" customHeight="true" outlineLevel="0" collapsed="false">
      <c r="A23" s="36" t="n">
        <v>20</v>
      </c>
      <c r="B23" s="37" t="s">
        <v>611</v>
      </c>
    </row>
    <row r="24" customFormat="false" ht="27.75" hidden="false" customHeight="true" outlineLevel="0" collapsed="false">
      <c r="A24" s="36" t="n">
        <v>21</v>
      </c>
      <c r="B24" s="37" t="s">
        <v>612</v>
      </c>
    </row>
    <row r="25" customFormat="false" ht="27.75" hidden="false" customHeight="true" outlineLevel="0" collapsed="false">
      <c r="A25" s="36" t="n">
        <v>22</v>
      </c>
      <c r="B25" s="37" t="s">
        <v>613</v>
      </c>
    </row>
    <row r="26" customFormat="false" ht="27.75" hidden="false" customHeight="true" outlineLevel="0" collapsed="false">
      <c r="A26" s="36" t="n">
        <v>23</v>
      </c>
      <c r="B26" s="37" t="s">
        <v>614</v>
      </c>
    </row>
    <row r="27" customFormat="false" ht="27.75" hidden="false" customHeight="true" outlineLevel="0" collapsed="false">
      <c r="A27" s="36" t="n">
        <v>24</v>
      </c>
      <c r="B27" s="37" t="s">
        <v>615</v>
      </c>
    </row>
    <row r="28" customFormat="false" ht="13.5" hidden="false" customHeight="true" outlineLevel="0" collapsed="false">
      <c r="A28" s="36" t="n">
        <v>25</v>
      </c>
      <c r="B28" s="37" t="s">
        <v>616</v>
      </c>
    </row>
    <row r="29" customFormat="false" ht="27.75" hidden="false" customHeight="true" outlineLevel="0" collapsed="false">
      <c r="A29" s="36" t="n">
        <v>26</v>
      </c>
      <c r="B29" s="37" t="s">
        <v>617</v>
      </c>
    </row>
    <row r="30" customFormat="false" ht="27.75" hidden="false" customHeight="true" outlineLevel="0" collapsed="false">
      <c r="A30" s="36" t="n">
        <v>27</v>
      </c>
      <c r="B30" s="37" t="s">
        <v>618</v>
      </c>
    </row>
    <row r="31" customFormat="false" ht="13.5" hidden="false" customHeight="true" outlineLevel="0" collapsed="false">
      <c r="A31" s="36" t="n">
        <v>28</v>
      </c>
      <c r="B31" s="37" t="s">
        <v>619</v>
      </c>
    </row>
    <row r="32" customFormat="false" ht="27.75" hidden="false" customHeight="true" outlineLevel="0" collapsed="false">
      <c r="A32" s="36" t="n">
        <v>29</v>
      </c>
      <c r="B32" s="37" t="s">
        <v>620</v>
      </c>
    </row>
    <row r="33" customFormat="false" ht="27.75" hidden="false" customHeight="true" outlineLevel="0" collapsed="false">
      <c r="A33" s="36" t="n">
        <v>30</v>
      </c>
      <c r="B33" s="37" t="s">
        <v>621</v>
      </c>
    </row>
    <row r="34" customFormat="false" ht="13.5" hidden="false" customHeight="true" outlineLevel="0" collapsed="false">
      <c r="A34" s="36" t="n">
        <v>31</v>
      </c>
      <c r="B34" s="37" t="s">
        <v>622</v>
      </c>
    </row>
    <row r="35" customFormat="false" ht="27.75" hidden="false" customHeight="true" outlineLevel="0" collapsed="false">
      <c r="A35" s="36" t="n">
        <v>32</v>
      </c>
      <c r="B35" s="37" t="s">
        <v>623</v>
      </c>
    </row>
    <row r="36" customFormat="false" ht="27.75" hidden="false" customHeight="true" outlineLevel="0" collapsed="false">
      <c r="A36" s="36" t="n">
        <v>33</v>
      </c>
      <c r="B36" s="37" t="s">
        <v>624</v>
      </c>
    </row>
    <row r="37" customFormat="false" ht="27.75" hidden="false" customHeight="true" outlineLevel="0" collapsed="false">
      <c r="A37" s="36" t="n">
        <v>34</v>
      </c>
      <c r="B37" s="37" t="s">
        <v>625</v>
      </c>
    </row>
    <row r="38" customFormat="false" ht="27.75" hidden="false" customHeight="true" outlineLevel="0" collapsed="false">
      <c r="A38" s="36" t="n">
        <v>35</v>
      </c>
      <c r="B38" s="37" t="s">
        <v>626</v>
      </c>
    </row>
    <row r="39" customFormat="false" ht="27.75" hidden="false" customHeight="true" outlineLevel="0" collapsed="false">
      <c r="A39" s="36" t="n">
        <v>36</v>
      </c>
      <c r="B39" s="37" t="s">
        <v>627</v>
      </c>
    </row>
    <row r="40" customFormat="false" ht="13.5" hidden="false" customHeight="true" outlineLevel="0" collapsed="false">
      <c r="A40" s="36" t="n">
        <v>37</v>
      </c>
      <c r="B40" s="37" t="s">
        <v>628</v>
      </c>
    </row>
    <row r="41" customFormat="false" ht="27.75" hidden="false" customHeight="true" outlineLevel="0" collapsed="false">
      <c r="A41" s="36" t="n">
        <v>38</v>
      </c>
      <c r="B41" s="37" t="s">
        <v>629</v>
      </c>
    </row>
    <row r="42" customFormat="false" ht="27.75" hidden="false" customHeight="true" outlineLevel="0" collapsed="false">
      <c r="A42" s="36" t="n">
        <v>39</v>
      </c>
      <c r="B42" s="37" t="s">
        <v>630</v>
      </c>
    </row>
    <row r="43" customFormat="false" ht="27.75" hidden="false" customHeight="true" outlineLevel="0" collapsed="false">
      <c r="A43" s="36" t="n">
        <v>40</v>
      </c>
      <c r="B43" s="37" t="s">
        <v>631</v>
      </c>
    </row>
    <row r="44" customFormat="false" ht="27.75" hidden="false" customHeight="true" outlineLevel="0" collapsed="false">
      <c r="A44" s="36" t="n">
        <v>41</v>
      </c>
      <c r="B44" s="37" t="s">
        <v>632</v>
      </c>
    </row>
    <row r="45" customFormat="false" ht="27.75" hidden="false" customHeight="true" outlineLevel="0" collapsed="false">
      <c r="A45" s="36" t="n">
        <v>42</v>
      </c>
      <c r="B45" s="37" t="s">
        <v>633</v>
      </c>
    </row>
    <row r="46" customFormat="false" ht="13.5" hidden="false" customHeight="true" outlineLevel="0" collapsed="false">
      <c r="A46" s="36" t="n">
        <v>43</v>
      </c>
      <c r="B46" s="37" t="s">
        <v>634</v>
      </c>
    </row>
    <row r="47" customFormat="false" ht="27.75" hidden="false" customHeight="true" outlineLevel="0" collapsed="false">
      <c r="A47" s="36" t="n">
        <v>44</v>
      </c>
      <c r="B47" s="37" t="s">
        <v>635</v>
      </c>
    </row>
    <row r="48" customFormat="false" ht="27.75" hidden="false" customHeight="true" outlineLevel="0" collapsed="false">
      <c r="A48" s="36" t="n">
        <v>45</v>
      </c>
      <c r="B48" s="37" t="s">
        <v>636</v>
      </c>
    </row>
    <row r="49" customFormat="false" ht="27.75" hidden="false" customHeight="true" outlineLevel="0" collapsed="false">
      <c r="A49" s="36" t="n">
        <v>46</v>
      </c>
      <c r="B49" s="37" t="s">
        <v>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26"/>
    <col collapsed="false" customWidth="true" hidden="false" outlineLevel="0" max="4" min="4" style="0" width="10"/>
  </cols>
  <sheetData>
    <row r="1" customFormat="false" ht="21.75" hidden="false" customHeight="true" outlineLevel="0" collapsed="false">
      <c r="A1" s="5" t="s">
        <v>638</v>
      </c>
    </row>
    <row r="2" customFormat="false" ht="15" hidden="false" customHeight="false" outlineLevel="0" collapsed="false">
      <c r="A2" s="6" t="s">
        <v>639</v>
      </c>
    </row>
    <row r="3" customFormat="false" ht="30" hidden="false" customHeight="true" outlineLevel="0" collapsed="false">
      <c r="A3" s="7" t="s">
        <v>640</v>
      </c>
      <c r="B3" s="7" t="s">
        <v>641</v>
      </c>
      <c r="C3" s="7" t="s">
        <v>642</v>
      </c>
      <c r="D3" s="7" t="s">
        <v>414</v>
      </c>
    </row>
    <row r="4" customFormat="false" ht="15" hidden="false" customHeight="false" outlineLevel="0" collapsed="false">
      <c r="A4" s="15" t="s">
        <v>461</v>
      </c>
      <c r="B4" s="15" t="s">
        <v>49</v>
      </c>
      <c r="C4" s="15" t="s">
        <v>294</v>
      </c>
      <c r="D4" s="15" t="s">
        <v>428</v>
      </c>
    </row>
    <row r="5" customFormat="false" ht="15" hidden="false" customHeight="false" outlineLevel="0" collapsed="false">
      <c r="A5" s="15" t="s">
        <v>426</v>
      </c>
      <c r="B5" s="15" t="s">
        <v>60</v>
      </c>
      <c r="C5" s="15" t="s">
        <v>103</v>
      </c>
      <c r="D5" s="15" t="s">
        <v>463</v>
      </c>
    </row>
    <row r="6" customFormat="false" ht="15" hidden="false" customHeight="false" outlineLevel="0" collapsed="false">
      <c r="A6" s="15" t="s">
        <v>444</v>
      </c>
      <c r="B6" s="15" t="s">
        <v>304</v>
      </c>
      <c r="C6" s="15" t="s">
        <v>117</v>
      </c>
    </row>
    <row r="7" customFormat="false" ht="15" hidden="false" customHeight="false" outlineLevel="0" collapsed="false">
      <c r="A7" s="15" t="s">
        <v>480</v>
      </c>
      <c r="C7" s="15" t="s">
        <v>120</v>
      </c>
    </row>
    <row r="8" customFormat="false" ht="15" hidden="false" customHeight="false" outlineLevel="0" collapsed="false">
      <c r="A8" s="15" t="s">
        <v>447</v>
      </c>
      <c r="C8" s="15" t="s">
        <v>158</v>
      </c>
    </row>
    <row r="9" customFormat="false" ht="15" hidden="false" customHeight="false" outlineLevel="0" collapsed="false">
      <c r="A9" s="15" t="s">
        <v>439</v>
      </c>
      <c r="C9" s="15" t="s">
        <v>85</v>
      </c>
    </row>
    <row r="10" customFormat="false" ht="15" hidden="false" customHeight="false" outlineLevel="0" collapsed="false">
      <c r="A10" s="15" t="s">
        <v>435</v>
      </c>
      <c r="C10" s="15" t="s">
        <v>132</v>
      </c>
    </row>
    <row r="11" customFormat="false" ht="15" hidden="false" customHeight="false" outlineLevel="0" collapsed="false">
      <c r="A11" s="15" t="s">
        <v>545</v>
      </c>
      <c r="C11" s="15" t="s">
        <v>108</v>
      </c>
    </row>
    <row r="12" customFormat="false" ht="15" hidden="false" customHeight="false" outlineLevel="0" collapsed="false">
      <c r="C12" s="15" t="s">
        <v>203</v>
      </c>
    </row>
    <row r="13" customFormat="false" ht="15" hidden="false" customHeight="false" outlineLevel="0" collapsed="false">
      <c r="C13" s="15" t="s">
        <v>365</v>
      </c>
    </row>
    <row r="14" customFormat="false" ht="15" hidden="false" customHeight="false" outlineLevel="0" collapsed="false">
      <c r="C14" s="15" t="s">
        <v>125</v>
      </c>
    </row>
    <row r="15" customFormat="false" ht="15" hidden="false" customHeight="false" outlineLevel="0" collapsed="false">
      <c r="C15" s="15" t="s">
        <v>155</v>
      </c>
    </row>
    <row r="16" customFormat="false" ht="15" hidden="false" customHeight="false" outlineLevel="0" collapsed="false">
      <c r="C16" s="15" t="s">
        <v>348</v>
      </c>
    </row>
    <row r="17" customFormat="false" ht="15" hidden="false" customHeight="false" outlineLevel="0" collapsed="false">
      <c r="C17" s="15" t="s">
        <v>100</v>
      </c>
    </row>
    <row r="18" customFormat="false" ht="15" hidden="false" customHeight="false" outlineLevel="0" collapsed="false">
      <c r="C18" s="15" t="s">
        <v>152</v>
      </c>
    </row>
    <row r="19" customFormat="false" ht="15" hidden="false" customHeight="false" outlineLevel="0" collapsed="false">
      <c r="C19" s="15" t="s">
        <v>299</v>
      </c>
    </row>
    <row r="20" customFormat="false" ht="15" hidden="false" customHeight="false" outlineLevel="0" collapsed="false">
      <c r="C20" s="15" t="s">
        <v>227</v>
      </c>
    </row>
    <row r="21" customFormat="false" ht="15" hidden="false" customHeight="false" outlineLevel="0" collapsed="false">
      <c r="C21" s="15" t="s">
        <v>253</v>
      </c>
    </row>
    <row r="22" customFormat="false" ht="15" hidden="false" customHeight="false" outlineLevel="0" collapsed="false">
      <c r="C22" s="15" t="s">
        <v>392</v>
      </c>
    </row>
    <row r="23" customFormat="false" ht="15" hidden="false" customHeight="false" outlineLevel="0" collapsed="false">
      <c r="C23" s="15" t="s">
        <v>283</v>
      </c>
    </row>
    <row r="24" customFormat="false" ht="15" hidden="false" customHeight="false" outlineLevel="0" collapsed="false">
      <c r="C24" s="15" t="s">
        <v>329</v>
      </c>
    </row>
    <row r="25" customFormat="false" ht="15" hidden="false" customHeight="false" outlineLevel="0" collapsed="false">
      <c r="C25" s="15" t="s">
        <v>224</v>
      </c>
    </row>
    <row r="26" customFormat="false" ht="15" hidden="false" customHeight="false" outlineLevel="0" collapsed="false">
      <c r="C26" s="15" t="s">
        <v>149</v>
      </c>
    </row>
    <row r="27" customFormat="false" ht="15" hidden="false" customHeight="false" outlineLevel="0" collapsed="false">
      <c r="C27" s="15" t="s">
        <v>270</v>
      </c>
    </row>
    <row r="28" customFormat="false" ht="15" hidden="false" customHeight="false" outlineLevel="0" collapsed="false">
      <c r="C28" s="15" t="s">
        <v>234</v>
      </c>
    </row>
    <row r="29" customFormat="false" ht="15" hidden="false" customHeight="false" outlineLevel="0" collapsed="false">
      <c r="C29" s="15"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2026-10-05T22:18:10Z</dcterms:created>
  <dc:creator>openpyxl</dc:creator>
  <dc:description/>
  <dc:language>en-US</dc:language>
  <cp:lastModifiedBy/>
  <dcterms:modified xsi:type="dcterms:W3CDTF">2026-10-05T22:18:10Z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